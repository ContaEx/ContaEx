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gera\Documents\ContaEx\"/>
    </mc:Choice>
  </mc:AlternateContent>
  <xr:revisionPtr revIDLastSave="0" documentId="8_{84A0D39A-EFDB-46AD-A83C-6FF0EF71A134}" xr6:coauthVersionLast="47" xr6:coauthVersionMax="47" xr10:uidLastSave="{00000000-0000-0000-0000-000000000000}"/>
  <bookViews>
    <workbookView xWindow="-120" yWindow="-120" windowWidth="20730" windowHeight="11760" tabRatio="887" xr2:uid="{00000000-000D-0000-FFFF-FFFF00000000}"/>
  </bookViews>
  <sheets>
    <sheet name="MENÚ PRINCIPAL" sheetId="3" r:id="rId1"/>
    <sheet name="ALTA DE EMPRESA" sheetId="18" state="hidden" r:id="rId2"/>
    <sheet name="CONTADOR" sheetId="31" state="hidden" r:id="rId3"/>
    <sheet name="CATALOGO DE CUENTAS GENERAL" sheetId="7" state="hidden" r:id="rId4"/>
    <sheet name="BALANCE GENERAL" sheetId="5" state="hidden" r:id="rId5"/>
    <sheet name="RAYADO DIARIO" sheetId="11" state="hidden" r:id="rId6"/>
    <sheet name="ESQUEMA DE MAYOR" sheetId="12" state="hidden" r:id="rId7"/>
    <sheet name="BALANZA DE COMPROBACIÓN" sheetId="13" state="hidden" r:id="rId8"/>
    <sheet name="PÓLIZAS" sheetId="14" state="hidden" r:id="rId9"/>
    <sheet name="ESTADO DE RESULTADOS" sheetId="15" state="hidden" r:id="rId10"/>
    <sheet name="BALANCE GENERAL FINAL" sheetId="16" state="hidden" r:id="rId11"/>
    <sheet name="TABLA DINAMICA" sheetId="30" state="hidden" r:id="rId12"/>
    <sheet name="BASE DE DATOS" sheetId="2" state="hidden" r:id="rId13"/>
    <sheet name="EMPRESA" sheetId="10" state="hidden" r:id="rId14"/>
  </sheets>
  <functionGroups builtInGroupCount="19"/>
  <definedNames>
    <definedName name="_xlnm._FilterDatabase" localSheetId="4" hidden="1">'BALANCE GENERAL'!$C$16:$I$32</definedName>
    <definedName name="_xlnm._FilterDatabase" localSheetId="7" hidden="1">'BALANZA DE COMPROBACIÓN'!$C$18:$K$39</definedName>
    <definedName name="_xlnm._FilterDatabase" localSheetId="3" hidden="1">'CATALOGO DE CUENTAS GENERAL'!$C$15:$E$1122</definedName>
    <definedName name="_xlnm._FilterDatabase" localSheetId="5" hidden="1">'RAYADO DIARIO'!$D$17:$I$75</definedName>
    <definedName name="_xlnm._FilterDatabase" localSheetId="11" hidden="1">'TABLA DINAMICA'!$I$2:$N$53</definedName>
    <definedName name="Activo">OFFSET('CATALOGO DE CUENTAS GENERAL'!#REF!,0,0,COUNTA('CATALOGO DE CUENTAS GENERAL'!$D:$D)-15,2)</definedName>
  </definedNames>
  <calcPr calcId="191029"/>
  <pivotCaches>
    <pivotCache cacheId="0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3" l="1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D17" i="5"/>
  <c r="C14" i="13"/>
  <c r="D20" i="5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20" i="13"/>
  <c r="H45" i="13" l="1"/>
  <c r="F45" i="13"/>
  <c r="G45" i="13"/>
  <c r="G36" i="15" l="1"/>
  <c r="G34" i="15"/>
  <c r="G37" i="15" s="1"/>
  <c r="G38" i="15" l="1"/>
  <c r="G41" i="15" s="1"/>
  <c r="G44" i="15" s="1"/>
  <c r="G26" i="15"/>
  <c r="G43" i="15" l="1"/>
  <c r="G45" i="15" s="1"/>
  <c r="G42" i="15"/>
  <c r="J6" i="30"/>
  <c r="F4" i="30" l="1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D18" i="5" l="1"/>
  <c r="D19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F19" i="11" l="1"/>
  <c r="F20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3" i="11"/>
  <c r="F74" i="11"/>
  <c r="F75" i="11"/>
  <c r="F18" i="11"/>
  <c r="D40" i="12" l="1"/>
  <c r="F3" i="30"/>
  <c r="M15" i="30" l="1"/>
  <c r="M16" i="30"/>
  <c r="M17" i="30"/>
  <c r="M18" i="30"/>
  <c r="M2" i="30"/>
  <c r="M3" i="30"/>
  <c r="M4" i="30"/>
  <c r="M5" i="30"/>
  <c r="M6" i="30"/>
  <c r="M7" i="30"/>
  <c r="M8" i="30"/>
  <c r="M9" i="30"/>
  <c r="M10" i="30"/>
  <c r="M11" i="30"/>
  <c r="M12" i="30"/>
  <c r="M13" i="30"/>
  <c r="M14" i="30"/>
  <c r="M1" i="30"/>
  <c r="H158" i="12"/>
  <c r="G158" i="12"/>
  <c r="E158" i="12"/>
  <c r="D158" i="12"/>
  <c r="H149" i="12"/>
  <c r="G149" i="12"/>
  <c r="E149" i="12"/>
  <c r="D149" i="12"/>
  <c r="H140" i="12"/>
  <c r="G140" i="12"/>
  <c r="E140" i="12"/>
  <c r="D140" i="12"/>
  <c r="H131" i="12"/>
  <c r="G131" i="12"/>
  <c r="E131" i="12"/>
  <c r="D131" i="12"/>
  <c r="H122" i="12"/>
  <c r="G122" i="12"/>
  <c r="E122" i="12"/>
  <c r="D122" i="12"/>
  <c r="H113" i="12"/>
  <c r="G113" i="12"/>
  <c r="E113" i="12"/>
  <c r="D113" i="12"/>
  <c r="H104" i="12"/>
  <c r="G104" i="12"/>
  <c r="E104" i="12"/>
  <c r="D104" i="12"/>
  <c r="H95" i="12"/>
  <c r="G95" i="12"/>
  <c r="E95" i="12"/>
  <c r="D95" i="12"/>
  <c r="H86" i="12"/>
  <c r="G86" i="12"/>
  <c r="E86" i="12"/>
  <c r="D86" i="12"/>
  <c r="H76" i="12"/>
  <c r="G76" i="12"/>
  <c r="E76" i="12"/>
  <c r="D76" i="12"/>
  <c r="H67" i="12"/>
  <c r="G67" i="12"/>
  <c r="E67" i="12"/>
  <c r="D67" i="12"/>
  <c r="H58" i="12"/>
  <c r="G58" i="12"/>
  <c r="E58" i="12"/>
  <c r="D58" i="12"/>
  <c r="H49" i="12"/>
  <c r="G49" i="12"/>
  <c r="E49" i="12"/>
  <c r="D49" i="12"/>
  <c r="H40" i="12"/>
  <c r="G40" i="12"/>
  <c r="E40" i="12"/>
  <c r="H30" i="12"/>
  <c r="G30" i="12"/>
  <c r="E30" i="12"/>
  <c r="D30" i="12"/>
  <c r="H21" i="12"/>
  <c r="G21" i="12"/>
  <c r="E21" i="12"/>
  <c r="D21" i="12"/>
  <c r="G31" i="12" l="1"/>
  <c r="G22" i="12"/>
  <c r="G41" i="12"/>
  <c r="G50" i="12"/>
  <c r="D31" i="12"/>
  <c r="D41" i="12"/>
  <c r="D59" i="12"/>
  <c r="D68" i="12"/>
  <c r="D77" i="12"/>
  <c r="D87" i="12"/>
  <c r="D96" i="12"/>
  <c r="D105" i="12"/>
  <c r="D114" i="12"/>
  <c r="G59" i="12"/>
  <c r="G68" i="12"/>
  <c r="G77" i="12"/>
  <c r="G87" i="12"/>
  <c r="G96" i="12"/>
  <c r="G105" i="12"/>
  <c r="G114" i="12"/>
  <c r="G123" i="12"/>
  <c r="H159" i="12"/>
  <c r="D123" i="12"/>
  <c r="G132" i="12"/>
  <c r="D132" i="12"/>
  <c r="E141" i="12"/>
  <c r="G141" i="12"/>
  <c r="H132" i="12"/>
  <c r="E150" i="12"/>
  <c r="E159" i="12"/>
  <c r="G150" i="12"/>
  <c r="D141" i="12"/>
  <c r="E59" i="12"/>
  <c r="E77" i="12"/>
  <c r="E96" i="12"/>
  <c r="E114" i="12"/>
  <c r="E132" i="12"/>
  <c r="H141" i="12"/>
  <c r="H150" i="12"/>
  <c r="G159" i="12"/>
  <c r="E50" i="12"/>
  <c r="E68" i="12"/>
  <c r="E87" i="12"/>
  <c r="E105" i="12"/>
  <c r="E123" i="12"/>
  <c r="H22" i="12"/>
  <c r="H31" i="12"/>
  <c r="H41" i="12"/>
  <c r="H50" i="12"/>
  <c r="H59" i="12"/>
  <c r="H77" i="12"/>
  <c r="H87" i="12"/>
  <c r="H96" i="12"/>
  <c r="H105" i="12"/>
  <c r="H114" i="12"/>
  <c r="H123" i="12"/>
  <c r="D150" i="12"/>
  <c r="D159" i="12"/>
  <c r="H68" i="12"/>
  <c r="D50" i="12"/>
  <c r="E41" i="12"/>
  <c r="E31" i="12"/>
  <c r="N52" i="30"/>
  <c r="M52" i="30"/>
  <c r="J52" i="30"/>
  <c r="K52" i="30" s="1"/>
  <c r="L52" i="30" s="1"/>
  <c r="I52" i="30"/>
  <c r="N51" i="30"/>
  <c r="M51" i="30"/>
  <c r="J51" i="30"/>
  <c r="K51" i="30" s="1"/>
  <c r="L51" i="30" s="1"/>
  <c r="I51" i="30"/>
  <c r="N50" i="30"/>
  <c r="M50" i="30"/>
  <c r="J50" i="30"/>
  <c r="K50" i="30" s="1"/>
  <c r="L50" i="30" s="1"/>
  <c r="I50" i="30"/>
  <c r="N49" i="30"/>
  <c r="M49" i="30"/>
  <c r="J49" i="30"/>
  <c r="K49" i="30" s="1"/>
  <c r="L49" i="30" s="1"/>
  <c r="I49" i="30"/>
  <c r="N48" i="30"/>
  <c r="M48" i="30"/>
  <c r="J48" i="30"/>
  <c r="K48" i="30" s="1"/>
  <c r="L48" i="30" s="1"/>
  <c r="I48" i="30"/>
  <c r="N47" i="30"/>
  <c r="M47" i="30"/>
  <c r="J47" i="30"/>
  <c r="K47" i="30" s="1"/>
  <c r="L47" i="30" s="1"/>
  <c r="I47" i="30"/>
  <c r="N46" i="30"/>
  <c r="M46" i="30"/>
  <c r="J46" i="30"/>
  <c r="K46" i="30" s="1"/>
  <c r="L46" i="30" s="1"/>
  <c r="I46" i="30"/>
  <c r="N45" i="30"/>
  <c r="M45" i="30"/>
  <c r="J45" i="30"/>
  <c r="K45" i="30" s="1"/>
  <c r="L45" i="30" s="1"/>
  <c r="I45" i="30"/>
  <c r="N44" i="30"/>
  <c r="M44" i="30"/>
  <c r="J44" i="30"/>
  <c r="K44" i="30" s="1"/>
  <c r="L44" i="30" s="1"/>
  <c r="I44" i="30"/>
  <c r="N43" i="30"/>
  <c r="M43" i="30"/>
  <c r="J43" i="30"/>
  <c r="I43" i="30"/>
  <c r="N42" i="30"/>
  <c r="M42" i="30"/>
  <c r="J42" i="30"/>
  <c r="I42" i="30"/>
  <c r="N41" i="30"/>
  <c r="M41" i="30"/>
  <c r="J41" i="30"/>
  <c r="I41" i="30"/>
  <c r="N40" i="30"/>
  <c r="M40" i="30"/>
  <c r="J40" i="30"/>
  <c r="I40" i="30"/>
  <c r="N39" i="30"/>
  <c r="M39" i="30"/>
  <c r="J39" i="30"/>
  <c r="I39" i="30"/>
  <c r="N38" i="30"/>
  <c r="M38" i="30"/>
  <c r="J38" i="30"/>
  <c r="I38" i="30"/>
  <c r="N37" i="30"/>
  <c r="M37" i="30"/>
  <c r="J37" i="30"/>
  <c r="I37" i="30"/>
  <c r="N36" i="30"/>
  <c r="M36" i="30"/>
  <c r="J36" i="30"/>
  <c r="I36" i="30"/>
  <c r="N35" i="30"/>
  <c r="M35" i="30"/>
  <c r="J35" i="30"/>
  <c r="I35" i="30"/>
  <c r="N34" i="30"/>
  <c r="M34" i="30"/>
  <c r="J34" i="30"/>
  <c r="I34" i="30"/>
  <c r="N33" i="30"/>
  <c r="M33" i="30"/>
  <c r="J33" i="30"/>
  <c r="I33" i="30"/>
  <c r="N32" i="30"/>
  <c r="M32" i="30"/>
  <c r="J32" i="30"/>
  <c r="I32" i="30"/>
  <c r="N31" i="30"/>
  <c r="M31" i="30"/>
  <c r="J31" i="30"/>
  <c r="I31" i="30"/>
  <c r="N30" i="30"/>
  <c r="M30" i="30"/>
  <c r="J30" i="30"/>
  <c r="I30" i="30"/>
  <c r="N29" i="30"/>
  <c r="M29" i="30"/>
  <c r="J29" i="30"/>
  <c r="I29" i="30"/>
  <c r="N28" i="30"/>
  <c r="M28" i="30"/>
  <c r="J28" i="30"/>
  <c r="I28" i="30"/>
  <c r="N27" i="30"/>
  <c r="M27" i="30"/>
  <c r="J27" i="30"/>
  <c r="I27" i="30"/>
  <c r="N26" i="30"/>
  <c r="M26" i="30"/>
  <c r="J26" i="30"/>
  <c r="I26" i="30"/>
  <c r="N25" i="30"/>
  <c r="M25" i="30"/>
  <c r="J25" i="30"/>
  <c r="I25" i="30"/>
  <c r="N24" i="30"/>
  <c r="M24" i="30"/>
  <c r="J24" i="30"/>
  <c r="I24" i="30"/>
  <c r="N23" i="30"/>
  <c r="M23" i="30"/>
  <c r="J23" i="30"/>
  <c r="I23" i="30"/>
  <c r="N22" i="30"/>
  <c r="M22" i="30"/>
  <c r="J22" i="30"/>
  <c r="I22" i="30"/>
  <c r="N21" i="30"/>
  <c r="M21" i="30"/>
  <c r="J21" i="30"/>
  <c r="I21" i="30"/>
  <c r="N20" i="30"/>
  <c r="M20" i="30"/>
  <c r="J20" i="30"/>
  <c r="I20" i="30"/>
  <c r="N19" i="30"/>
  <c r="M19" i="30"/>
  <c r="J19" i="30"/>
  <c r="I19" i="30"/>
  <c r="N18" i="30"/>
  <c r="J18" i="30"/>
  <c r="I18" i="30"/>
  <c r="N17" i="30"/>
  <c r="J17" i="30"/>
  <c r="I17" i="30"/>
  <c r="N16" i="30"/>
  <c r="J16" i="30"/>
  <c r="I16" i="30"/>
  <c r="N15" i="30"/>
  <c r="J15" i="30"/>
  <c r="I15" i="30"/>
  <c r="N14" i="30"/>
  <c r="J14" i="30"/>
  <c r="I14" i="30"/>
  <c r="N13" i="30"/>
  <c r="J13" i="30"/>
  <c r="I13" i="30"/>
  <c r="N12" i="30"/>
  <c r="J12" i="30"/>
  <c r="I12" i="30"/>
  <c r="N11" i="30"/>
  <c r="J11" i="30"/>
  <c r="I11" i="30"/>
  <c r="N10" i="30"/>
  <c r="J10" i="30"/>
  <c r="I10" i="30"/>
  <c r="N9" i="30"/>
  <c r="J9" i="30"/>
  <c r="I9" i="30"/>
  <c r="N8" i="30"/>
  <c r="J8" i="30"/>
  <c r="I8" i="30"/>
  <c r="N7" i="30"/>
  <c r="J7" i="30"/>
  <c r="I7" i="30"/>
  <c r="N6" i="30"/>
  <c r="I6" i="30"/>
  <c r="N5" i="30"/>
  <c r="J5" i="30"/>
  <c r="I5" i="30"/>
  <c r="N4" i="30"/>
  <c r="J4" i="30"/>
  <c r="I4" i="30"/>
  <c r="N3" i="30"/>
  <c r="J3" i="30"/>
  <c r="I3" i="30"/>
  <c r="N2" i="30"/>
  <c r="O2" i="30" s="1"/>
  <c r="J2" i="30"/>
  <c r="K2" i="30" s="1"/>
  <c r="L2" i="30" s="1"/>
  <c r="I2" i="30"/>
  <c r="N1" i="30"/>
  <c r="O17" i="30" l="1"/>
  <c r="O44" i="30"/>
  <c r="O45" i="30"/>
  <c r="O46" i="30"/>
  <c r="O47" i="30"/>
  <c r="O48" i="30"/>
  <c r="O49" i="30"/>
  <c r="O50" i="30"/>
  <c r="O51" i="30"/>
  <c r="O52" i="30"/>
  <c r="O19" i="30"/>
  <c r="O20" i="30"/>
  <c r="O21" i="30"/>
  <c r="O22" i="30"/>
  <c r="O23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O40" i="30"/>
  <c r="O41" i="30"/>
  <c r="O42" i="30"/>
  <c r="O43" i="30"/>
  <c r="O16" i="30"/>
  <c r="O18" i="30"/>
  <c r="O5" i="30"/>
  <c r="O7" i="30"/>
  <c r="O9" i="30"/>
  <c r="O14" i="30"/>
  <c r="O6" i="30"/>
  <c r="O8" i="30"/>
  <c r="O15" i="30"/>
  <c r="O10" i="30"/>
  <c r="O3" i="30"/>
  <c r="O11" i="30"/>
  <c r="O4" i="30"/>
  <c r="O12" i="30"/>
  <c r="O13" i="30"/>
  <c r="K6" i="30"/>
  <c r="L6" i="30" s="1"/>
  <c r="K18" i="30"/>
  <c r="L18" i="30" s="1"/>
  <c r="K13" i="30"/>
  <c r="L13" i="30" s="1"/>
  <c r="K17" i="30"/>
  <c r="L17" i="30" s="1"/>
  <c r="K10" i="30"/>
  <c r="L10" i="30" s="1"/>
  <c r="K14" i="30"/>
  <c r="L14" i="30" s="1"/>
  <c r="K5" i="30"/>
  <c r="L5" i="30" s="1"/>
  <c r="K9" i="30"/>
  <c r="L9" i="30" s="1"/>
  <c r="K4" i="30"/>
  <c r="L4" i="30" s="1"/>
  <c r="K8" i="30"/>
  <c r="L8" i="30" s="1"/>
  <c r="K12" i="30"/>
  <c r="L12" i="30" s="1"/>
  <c r="K16" i="30"/>
  <c r="L16" i="30" s="1"/>
  <c r="K3" i="30"/>
  <c r="L3" i="30" s="1"/>
  <c r="K7" i="30"/>
  <c r="L7" i="30" s="1"/>
  <c r="K11" i="30"/>
  <c r="L11" i="30" s="1"/>
  <c r="K15" i="30"/>
  <c r="L15" i="30" s="1"/>
  <c r="K19" i="30"/>
  <c r="L19" i="30" s="1"/>
  <c r="K20" i="30"/>
  <c r="L20" i="30" s="1"/>
  <c r="K21" i="30"/>
  <c r="L21" i="30" s="1"/>
  <c r="K22" i="30"/>
  <c r="L22" i="30" s="1"/>
  <c r="K23" i="30"/>
  <c r="L23" i="30" s="1"/>
  <c r="K24" i="30"/>
  <c r="L24" i="30" s="1"/>
  <c r="K25" i="30"/>
  <c r="L25" i="30" s="1"/>
  <c r="K26" i="30"/>
  <c r="L26" i="30" s="1"/>
  <c r="K27" i="30"/>
  <c r="L27" i="30" s="1"/>
  <c r="K28" i="30"/>
  <c r="L28" i="30" s="1"/>
  <c r="K29" i="30"/>
  <c r="L29" i="30" s="1"/>
  <c r="K30" i="30"/>
  <c r="L30" i="30" s="1"/>
  <c r="K31" i="30"/>
  <c r="L31" i="30" s="1"/>
  <c r="K32" i="30"/>
  <c r="L32" i="30" s="1"/>
  <c r="K33" i="30"/>
  <c r="L33" i="30" s="1"/>
  <c r="K34" i="30"/>
  <c r="L34" i="30" s="1"/>
  <c r="K35" i="30"/>
  <c r="L35" i="30" s="1"/>
  <c r="K36" i="30"/>
  <c r="L36" i="30" s="1"/>
  <c r="K37" i="30"/>
  <c r="L37" i="30" s="1"/>
  <c r="K38" i="30"/>
  <c r="L38" i="30" s="1"/>
  <c r="K39" i="30"/>
  <c r="L39" i="30" s="1"/>
  <c r="K40" i="30"/>
  <c r="L40" i="30" s="1"/>
  <c r="K41" i="30"/>
  <c r="L41" i="30" s="1"/>
  <c r="K42" i="30"/>
  <c r="L42" i="30" s="1"/>
  <c r="K43" i="30"/>
  <c r="L43" i="30" s="1"/>
  <c r="H39" i="14"/>
  <c r="G39" i="14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E10" i="11" l="1"/>
  <c r="C12" i="11"/>
  <c r="C11" i="5"/>
  <c r="E22" i="12" l="1"/>
  <c r="J45" i="13" l="1"/>
  <c r="I45" i="13"/>
  <c r="K45" i="13" l="1"/>
  <c r="I18" i="14" l="1"/>
  <c r="E26" i="2" l="1"/>
  <c r="E27" i="2" s="1"/>
  <c r="E28" i="2" s="1"/>
  <c r="E29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C16" i="12"/>
  <c r="D22" i="12" l="1"/>
  <c r="C13" i="11" l="1"/>
  <c r="C15" i="14" l="1"/>
  <c r="C17" i="15" s="1"/>
  <c r="C15" i="13"/>
  <c r="C16" i="16"/>
</calcChain>
</file>

<file path=xl/sharedStrings.xml><?xml version="1.0" encoding="utf-8"?>
<sst xmlns="http://schemas.openxmlformats.org/spreadsheetml/2006/main" count="1499" uniqueCount="857">
  <si>
    <t>DEBE</t>
  </si>
  <si>
    <t>HABER</t>
  </si>
  <si>
    <t>CONCEPTO</t>
  </si>
  <si>
    <t>Mobiliario y equipo de oficina</t>
  </si>
  <si>
    <t>Capital contable</t>
  </si>
  <si>
    <t>No. CTA</t>
  </si>
  <si>
    <t>CUENTAS</t>
  </si>
  <si>
    <t>FECHA</t>
  </si>
  <si>
    <t xml:space="preserve">DEBE </t>
  </si>
  <si>
    <t>BALANCE FINAL</t>
  </si>
  <si>
    <t>POLIZA DE DIARIO</t>
  </si>
  <si>
    <t>INICIA:</t>
  </si>
  <si>
    <t>TERMINA:</t>
  </si>
  <si>
    <t>RFC</t>
  </si>
  <si>
    <t xml:space="preserve">HOJA DE TRABAJO CORRESPONDIENTE AL </t>
  </si>
  <si>
    <t>PÓLIZA 1</t>
  </si>
  <si>
    <t>PÓLIZA 2</t>
  </si>
  <si>
    <t>PÓLIZA 3</t>
  </si>
  <si>
    <t>PÓLIZA 4</t>
  </si>
  <si>
    <t>PÓLIZA 5</t>
  </si>
  <si>
    <t>PÓLIZA 6</t>
  </si>
  <si>
    <t>PÓLIZA 7</t>
  </si>
  <si>
    <t>PÓLIZA 8</t>
  </si>
  <si>
    <t>PÓLIZA 9</t>
  </si>
  <si>
    <t>PÓLIZA 10</t>
  </si>
  <si>
    <t>PÓLIZA 11</t>
  </si>
  <si>
    <t>PÓLIZA 12</t>
  </si>
  <si>
    <t>PÓLIZA 13</t>
  </si>
  <si>
    <t>PÓLIZA 14</t>
  </si>
  <si>
    <t>PÓLIZA 15</t>
  </si>
  <si>
    <t>PÓLIZA 16</t>
  </si>
  <si>
    <t>PÓLIZA 17</t>
  </si>
  <si>
    <t>PÓLIZA 18</t>
  </si>
  <si>
    <t>PÓLIZA 19</t>
  </si>
  <si>
    <t>PÓLIZA 20</t>
  </si>
  <si>
    <t>PÓLIZA 21</t>
  </si>
  <si>
    <t>PÓLIZA 22</t>
  </si>
  <si>
    <t>PÓLIZA 23</t>
  </si>
  <si>
    <t>PÓLIZA 24</t>
  </si>
  <si>
    <t>PÓLIZA 25</t>
  </si>
  <si>
    <t>PÓLIZA 26</t>
  </si>
  <si>
    <t>PÓLIZA 27</t>
  </si>
  <si>
    <t>PÓLIZA 28</t>
  </si>
  <si>
    <t>PÓLIZA 29</t>
  </si>
  <si>
    <t>PÓLIZA 30</t>
  </si>
  <si>
    <t>PÓLIZA 31</t>
  </si>
  <si>
    <t>PÓLIZA 32</t>
  </si>
  <si>
    <t>PÓLIZA 33</t>
  </si>
  <si>
    <t>PÓLIZA 34</t>
  </si>
  <si>
    <t>PÓLIZA 35</t>
  </si>
  <si>
    <t>PÓLIZA 36</t>
  </si>
  <si>
    <t>PÓLIZA 37</t>
  </si>
  <si>
    <t>PÓLIZA 38</t>
  </si>
  <si>
    <t>PÓLIZA 39</t>
  </si>
  <si>
    <t>PÓLIZA 40</t>
  </si>
  <si>
    <t>PÓLIZA 41</t>
  </si>
  <si>
    <t>PÓLIZA 42</t>
  </si>
  <si>
    <t>PÓLIZA 43</t>
  </si>
  <si>
    <t>PÓLIZA 44</t>
  </si>
  <si>
    <t>PÓLIZA 45</t>
  </si>
  <si>
    <t>PÓLIZA 46</t>
  </si>
  <si>
    <t>PÓLIZA 47</t>
  </si>
  <si>
    <t>PÓLIZA 48</t>
  </si>
  <si>
    <t>PÓLIZA 49</t>
  </si>
  <si>
    <t>PÓLIZA 50</t>
  </si>
  <si>
    <t>ASIENTO</t>
  </si>
  <si>
    <t>RD</t>
  </si>
  <si>
    <t>TERMINA</t>
  </si>
  <si>
    <t xml:space="preserve">PÓLIZA </t>
  </si>
  <si>
    <t>TIPO DE PÓLIZA</t>
  </si>
  <si>
    <t>INGRESO</t>
  </si>
  <si>
    <t>EGRESO</t>
  </si>
  <si>
    <t>PASIVOS</t>
  </si>
  <si>
    <t>ACTIVOS CIRCULANTE</t>
  </si>
  <si>
    <t>ACTIVOS FIJOS</t>
  </si>
  <si>
    <t>TIPO CUENTA</t>
  </si>
  <si>
    <t>CAPITAL</t>
  </si>
  <si>
    <t>Columna1</t>
  </si>
  <si>
    <t>Columna2</t>
  </si>
  <si>
    <t>Columna3</t>
  </si>
  <si>
    <t>Columna4</t>
  </si>
  <si>
    <t>Columna5</t>
  </si>
  <si>
    <t>Columna6</t>
  </si>
  <si>
    <t>Columna7</t>
  </si>
  <si>
    <t>Total general</t>
  </si>
  <si>
    <t>Suma de DEBE</t>
  </si>
  <si>
    <t>º</t>
  </si>
  <si>
    <t>INICIA</t>
  </si>
  <si>
    <t>NO.CTA</t>
  </si>
  <si>
    <t>Código para uso exclusivo de contribuyentes del sector financiero</t>
  </si>
  <si>
    <t>Activo</t>
  </si>
  <si>
    <t>Activo a corto plazo</t>
  </si>
  <si>
    <t>Caja</t>
  </si>
  <si>
    <t>Caja y efectivo</t>
  </si>
  <si>
    <t>Bancos</t>
  </si>
  <si>
    <t>Bancos nacionales</t>
  </si>
  <si>
    <t>Bancos extranjeros</t>
  </si>
  <si>
    <t>Inversiones</t>
  </si>
  <si>
    <t>Inversiones temporales</t>
  </si>
  <si>
    <t>Inversiones en fideicomisos</t>
  </si>
  <si>
    <t>Otras inversiones</t>
  </si>
  <si>
    <t>Otros instrumentos financieros</t>
  </si>
  <si>
    <t>Clientes</t>
  </si>
  <si>
    <t>Clientes nacionales</t>
  </si>
  <si>
    <t>Clientes extranjeros</t>
  </si>
  <si>
    <t>Clientes nacionales parte relacionada</t>
  </si>
  <si>
    <t>Clientes extranjeros parte relacionada</t>
  </si>
  <si>
    <t>Cuentas y documentos por cobrar a corto plazo</t>
  </si>
  <si>
    <t>Cuentas y documentos por cobrar a corto plazo nacional</t>
  </si>
  <si>
    <t>Cuentas y documentos por cobrar a corto plazo extranjero</t>
  </si>
  <si>
    <t>Cuentas y documentos por cobrar a corto plazo nacional parte relacionada</t>
  </si>
  <si>
    <t>Cuentas y documentos por cobrar a corto plazo extranjero parte relacionada</t>
  </si>
  <si>
    <t>Intereses por cobrar a corto plazo nacional</t>
  </si>
  <si>
    <t>Intereses por cobrar a corto plazo extranjero</t>
  </si>
  <si>
    <t>Intereses por cobrar a corto plazo nacional parte relacionada</t>
  </si>
  <si>
    <t>Intereses por cobrar a corto plazo extranjero parte relacionada</t>
  </si>
  <si>
    <t>Otras cuentas y documentos por cobrar a corto plazo</t>
  </si>
  <si>
    <t>Otras cuentas y documentos por cobrar a corto plazo parte relacionada</t>
  </si>
  <si>
    <t>Deudores diversos</t>
  </si>
  <si>
    <t>Funcionarios y empleados</t>
  </si>
  <si>
    <t>Socios y accionistas</t>
  </si>
  <si>
    <t>Partes relacionadas nacionales</t>
  </si>
  <si>
    <t>Partes relacionadas extranjeros</t>
  </si>
  <si>
    <t>Otros deudores diversos</t>
  </si>
  <si>
    <t>Estimación de cuentas incobrables</t>
  </si>
  <si>
    <t>Estimación de cuentas incobrables nacional</t>
  </si>
  <si>
    <t>Estimación de cuentas incobrables extranjero</t>
  </si>
  <si>
    <t>Estimación de cuentas incobrables nacional parte relacionada</t>
  </si>
  <si>
    <t>Estimación de cuentas incobrables extranjero parte relacionada</t>
  </si>
  <si>
    <t>Pagos anticipados</t>
  </si>
  <si>
    <t>Seguros y fianzas pagados por anticipado nacional</t>
  </si>
  <si>
    <t>Seguros y fianzas pagados por anticipado extranjero</t>
  </si>
  <si>
    <t>Seguros y fianzas pagados por anticipado nacional parte relacionada</t>
  </si>
  <si>
    <t>Seguros y fianzas pagados por anticipado extranjero parte relacionada</t>
  </si>
  <si>
    <t>Rentas pagados por anticipado nacional</t>
  </si>
  <si>
    <t>Rentas pagados por anticipado extranjero</t>
  </si>
  <si>
    <t>Rentas pagados por anticipado nacional parte relacionada</t>
  </si>
  <si>
    <t>Rentas pagados por anticipado extranjero parte relacionada</t>
  </si>
  <si>
    <t>Intereses pagados por anticipado nacional</t>
  </si>
  <si>
    <t>Intereses pagados por anticipado extranjero</t>
  </si>
  <si>
    <t>Intereses pagados por anticipado nacional parte relacionada</t>
  </si>
  <si>
    <t>Intereses pagados por anticipado extranjero parte relacionada</t>
  </si>
  <si>
    <t>Factoraje financiero pagados por anticipado nacional</t>
  </si>
  <si>
    <t>Factoraje financiero pagados por anticipado extranjero</t>
  </si>
  <si>
    <t>Factoraje financiero pagados por anticipado nacional parte relacionada</t>
  </si>
  <si>
    <t>Factoraje financiero pagados por anticipado extranjero parte relacionada</t>
  </si>
  <si>
    <t>Arrendamiento financiero pagados por anticipado nacional</t>
  </si>
  <si>
    <t>Arrendamiento financiero pagados por anticipado extranjero</t>
  </si>
  <si>
    <t>Arrendamiento financiero pagados por anticipado nacional parte relacionada</t>
  </si>
  <si>
    <t>Arrendamiento financiero pagados por anticipado extranjero parte relacionada</t>
  </si>
  <si>
    <t>Pérdida por deterioro de pagos anticipados</t>
  </si>
  <si>
    <t>Derechos fiduciarios</t>
  </si>
  <si>
    <t>Otros pagos anticipados</t>
  </si>
  <si>
    <t>Subsidio al empleo por aplicar</t>
  </si>
  <si>
    <t>Crédito al diesel por acreditar</t>
  </si>
  <si>
    <t>Otros estímulos</t>
  </si>
  <si>
    <t>Impuestos a favor</t>
  </si>
  <si>
    <t>IVA a favor</t>
  </si>
  <si>
    <t>ISR a favor</t>
  </si>
  <si>
    <t>IETU a favor</t>
  </si>
  <si>
    <t>IDE a favor</t>
  </si>
  <si>
    <t>IA a favor</t>
  </si>
  <si>
    <t>Subsidio al empleo</t>
  </si>
  <si>
    <t>Pago de lo indebido</t>
  </si>
  <si>
    <t>Otros impuestos a favor</t>
  </si>
  <si>
    <t>Pagos provisionales</t>
  </si>
  <si>
    <t>Pagos provisionales de ISR</t>
  </si>
  <si>
    <t>Inventario</t>
  </si>
  <si>
    <t>Materia prima y materiales</t>
  </si>
  <si>
    <t>Producción en proceso</t>
  </si>
  <si>
    <t>Productos terminados</t>
  </si>
  <si>
    <t>Mercancías en tránsito</t>
  </si>
  <si>
    <t>Mercancías en poder de terceros</t>
  </si>
  <si>
    <t>Otros</t>
  </si>
  <si>
    <t>Estimación de inventarios obsoletos y de lento movimiento</t>
  </si>
  <si>
    <t>Obras en proceso de inmuebles</t>
  </si>
  <si>
    <t>Impuestos acreditables pagados</t>
  </si>
  <si>
    <t>IVA acreditable pagado</t>
  </si>
  <si>
    <t>IVA acreditable de importación pagado</t>
  </si>
  <si>
    <t>IEPS acreditable pagado</t>
  </si>
  <si>
    <t>IEPS pagado en importación</t>
  </si>
  <si>
    <t>Impuestos acreditables por pagar</t>
  </si>
  <si>
    <t>IVA pendiente de pago</t>
  </si>
  <si>
    <t>IVA de importación pendiente de pago</t>
  </si>
  <si>
    <t>IEPS pendiente de pago</t>
  </si>
  <si>
    <t>IEPS pendiente de pago en importación</t>
  </si>
  <si>
    <t>Anticipo a proveedores</t>
  </si>
  <si>
    <t>Anticipo a proveedores nacional</t>
  </si>
  <si>
    <t>Anticipo a proveedores extranjero</t>
  </si>
  <si>
    <t>Anticipo a proveedores nacional parte relacionada</t>
  </si>
  <si>
    <t>Anticipo a proveedores extranjero parte relacionada</t>
  </si>
  <si>
    <t>Otros activos a corto plazo</t>
  </si>
  <si>
    <t>Activo a largo plazo</t>
  </si>
  <si>
    <t>Terrenos</t>
  </si>
  <si>
    <t>Edificios</t>
  </si>
  <si>
    <t>Maquinaria y equipo</t>
  </si>
  <si>
    <t>Automóviles, autobuses, camiones de carga, tractocamiones, montacargas y remolques</t>
  </si>
  <si>
    <t>Equipo de cómputo</t>
  </si>
  <si>
    <t>Equipo de comunicación</t>
  </si>
  <si>
    <t>Activos biológicos, vegetales y semovientes</t>
  </si>
  <si>
    <t>Obras en proceso de activos fijos</t>
  </si>
  <si>
    <t>Otros activos fijos</t>
  </si>
  <si>
    <t>Ferrocarriles</t>
  </si>
  <si>
    <t>Embarcaciones</t>
  </si>
  <si>
    <t>Aviones</t>
  </si>
  <si>
    <t>Troqueles, moldes, matrices y herramental</t>
  </si>
  <si>
    <t>Equipo de comunicaciones telefónicas</t>
  </si>
  <si>
    <t>Equipo de comunicación satelital</t>
  </si>
  <si>
    <t>Equipo de adaptaciones para personas con capacidades diferentes</t>
  </si>
  <si>
    <t>Maquinaria y equipo de generación de energía de fuentes renovables o de sistemas de cogeneración de electricidad eficiente</t>
  </si>
  <si>
    <t>Otra maquinaria y equipo</t>
  </si>
  <si>
    <t>Adaptaciones y mejoras</t>
  </si>
  <si>
    <t>Depreciación acumulada de activos fijos</t>
  </si>
  <si>
    <t>Depreciación acumulada de edificios</t>
  </si>
  <si>
    <t>Depreciación acumulada de maquinaria y equipo</t>
  </si>
  <si>
    <t>Depreciación acumulada de automóviles, autobuses, camiones de carga, tractocamiones, montacargas y remolques</t>
  </si>
  <si>
    <t>Depreciación acumulada de mobiliario y equipo de oficina</t>
  </si>
  <si>
    <t>Depreciación acumulada de equipo de cómputo</t>
  </si>
  <si>
    <t>Depreciación acumulada de equipo de comunicación</t>
  </si>
  <si>
    <t>Depreciación acumulada de activos biológicos, vegetales y semovientes</t>
  </si>
  <si>
    <t>Depreciación acumulada de otros activos fijos</t>
  </si>
  <si>
    <t>Depreciación acumulada de ferrocarriles</t>
  </si>
  <si>
    <t>Depreciación acumulada de embarcaciones</t>
  </si>
  <si>
    <t>Depreciación acumulada de aviones</t>
  </si>
  <si>
    <t>Depreciación acumulada de troqueles, moldes, matrices y herramental</t>
  </si>
  <si>
    <t>Depreciación acumulada de equipo de comunicaciones telefónicas</t>
  </si>
  <si>
    <t>Depreciación acumulada de equipo de comunicación satelital</t>
  </si>
  <si>
    <t>Depreciación acumulada de equipo de adaptaciones para personas con capacidades diferentes</t>
  </si>
  <si>
    <t>Depreciación acumulada de maquinaria y equipo de generación de energía de fuentes renovables o de sistemas de cogeneración de electricidad eficiente</t>
  </si>
  <si>
    <t>Depreciación acumulada de adaptaciones y mejoras</t>
  </si>
  <si>
    <t>Depreciación acumulada de otra maquinaria y equipo</t>
  </si>
  <si>
    <t>Pérdida por deterioro acumulado de activos fijos</t>
  </si>
  <si>
    <t>Pérdida por deterioro acumulado de edificios</t>
  </si>
  <si>
    <t>Pérdida por deterioro acumulado de maquinaria y equipo</t>
  </si>
  <si>
    <t>Pérdida por deterioro acumulado de automóviles, autobuses, camiones de carga, tractocamiones, montacargas y remolques</t>
  </si>
  <si>
    <t>Pérdida por deterioro acumulado de mobiliario y equipo de oficina</t>
  </si>
  <si>
    <t>Pérdida por deterioro acumulado de equipo de cómputo</t>
  </si>
  <si>
    <t>Pérdida por deterioro acumulado de equipo de comunicación</t>
  </si>
  <si>
    <t>Pérdida por deterioro acumulado de activos biológicos, vegetales y semovientes</t>
  </si>
  <si>
    <t>Pérdida por deterioro acumulado de otros activos fijos</t>
  </si>
  <si>
    <t>Pérdida por deterioro acumulado de ferrocarriles</t>
  </si>
  <si>
    <t>Pérdida por deterioro acumulado de embarcaciones</t>
  </si>
  <si>
    <t>Pérdida por deterioro acumulado de aviones</t>
  </si>
  <si>
    <t>Pérdida por deterioro acumulado de troqueles, moldes, matrices y herramental</t>
  </si>
  <si>
    <t>Pérdida por deterioro acumulado de equipo de comunicaciones telefónicas</t>
  </si>
  <si>
    <t>Pérdida por deterioro acumulado de equipo de comunicación satelital</t>
  </si>
  <si>
    <t>Pérdida por deterioro acumulado de equipo de adaptaciones para personas con capacidades diferentes</t>
  </si>
  <si>
    <t>Pérdida por deterioro acumulado de maquinaria y equipo de generación de energía de fuentes renovables o de sistemas de cogeneración de electricidad eficiente</t>
  </si>
  <si>
    <t>Pérdida por deterioro acumulado de adaptaciones y mejoras</t>
  </si>
  <si>
    <t>Pérdida por deterioro acumulado de otra maquinaria y equipo</t>
  </si>
  <si>
    <t>Gastos diferidos</t>
  </si>
  <si>
    <t>Gastos pre operativos</t>
  </si>
  <si>
    <t>Regalías, asistencia técnica y otros gastos diferidos</t>
  </si>
  <si>
    <t>Activos intangibles</t>
  </si>
  <si>
    <t>Gastos de organización</t>
  </si>
  <si>
    <t>Investigación y desarrollo de mercado</t>
  </si>
  <si>
    <t>Marcas y patentes</t>
  </si>
  <si>
    <t>Crédito mercantil</t>
  </si>
  <si>
    <t>Gastos de instalación</t>
  </si>
  <si>
    <t>Otros activos diferidos</t>
  </si>
  <si>
    <t>Amortización acumulada de activos diferidos</t>
  </si>
  <si>
    <t>Amortización acumulada de gastos diferidos</t>
  </si>
  <si>
    <t>Amortización acumulada de gastos pre operativos</t>
  </si>
  <si>
    <t>Amortización acumulada de regalías, asistencia técnica y otros gastos diferidos</t>
  </si>
  <si>
    <t>Amortización acumulada de activos intangibles</t>
  </si>
  <si>
    <t>Amortización acumulada de gastos de organización</t>
  </si>
  <si>
    <t>Amortización acumulada de investigación y desarrollo de mercado</t>
  </si>
  <si>
    <t>Amortización acumulada de marcas y patentes</t>
  </si>
  <si>
    <t>Amortización acumulada de crédito mercantil</t>
  </si>
  <si>
    <t>Amortización acumulada de gastos de instalación</t>
  </si>
  <si>
    <t>Amortización acumulada de otros activos diferidos</t>
  </si>
  <si>
    <t>Depósitos en garantía</t>
  </si>
  <si>
    <t>Depósitos de fianzas</t>
  </si>
  <si>
    <t>Depósitos de arrendamiento de bienes inmuebles</t>
  </si>
  <si>
    <t>Otros depósitos en garantía</t>
  </si>
  <si>
    <t>Impuestos diferidos</t>
  </si>
  <si>
    <t>Impuestos diferidos ISR</t>
  </si>
  <si>
    <t>Cuentas y documentos por cobrar a largo plazo</t>
  </si>
  <si>
    <t>Cuentas y documentos por cobrar a largo plazo nacional</t>
  </si>
  <si>
    <t>Cuentas y documentos por cobrar a largo plazo extranjero</t>
  </si>
  <si>
    <t>Cuentas y documentos por cobrar a largo plazo nacional parte relacionada</t>
  </si>
  <si>
    <t>Cuentas y documentos por cobrar a largo plazo extranjero parte relacionada</t>
  </si>
  <si>
    <t>Intereses por cobrar a largo plazo nacional</t>
  </si>
  <si>
    <t>Intereses por cobrar a largo plazo extranjero</t>
  </si>
  <si>
    <t>Intereses por cobrar a largo plazo nacional parte relacionada</t>
  </si>
  <si>
    <t>Intereses por cobrar a largo plazo extranjero parte relacionada</t>
  </si>
  <si>
    <t>Otras cuentas y documentos por cobrar a largo plazo</t>
  </si>
  <si>
    <t>Otras cuentas y documentos por cobrar a largo plazo parte relacionada</t>
  </si>
  <si>
    <t>Participación de los trabajadores en las utilidades diferidas</t>
  </si>
  <si>
    <t>Inversiones permanentes en acciones</t>
  </si>
  <si>
    <t>Inversiones a largo plazo en subsidiarias</t>
  </si>
  <si>
    <t>Inversiones a largo plazo en asociadas</t>
  </si>
  <si>
    <t>Otras inversiones permanentes en acciones</t>
  </si>
  <si>
    <t>Estimación por deterioro de inversiones permanentes en acciones</t>
  </si>
  <si>
    <t>Otros activos a largo plazo</t>
  </si>
  <si>
    <t>Pasivo</t>
  </si>
  <si>
    <t>Pasivo a corto plazo</t>
  </si>
  <si>
    <t>Proveedores</t>
  </si>
  <si>
    <t>Proveedores nacionales</t>
  </si>
  <si>
    <t>Proveedores extranjeros</t>
  </si>
  <si>
    <t>Proveedores nacionales parte relacionada</t>
  </si>
  <si>
    <t>Proveedores extranjeros parte relacionada</t>
  </si>
  <si>
    <t>Cuentas por pagar a corto plazo</t>
  </si>
  <si>
    <t>Documentos por pagar bancario y financiero nacional</t>
  </si>
  <si>
    <t>Documentos por pagar bancario y financiero extranjero</t>
  </si>
  <si>
    <t>Documentos y cuentas por pagar a corto plazo nacional</t>
  </si>
  <si>
    <t>Documentos y cuentas por pagar a corto plazo extranjero</t>
  </si>
  <si>
    <t>Documentos y cuentas por pagar a corto plazo nacional parte relacionada</t>
  </si>
  <si>
    <t>Documentos y cuentas por pagar a corto plazo extranjero parte relacionada</t>
  </si>
  <si>
    <t>Intereses por pagar a corto plazo nacional</t>
  </si>
  <si>
    <t>Intereses por pagar a corto plazo extranjero</t>
  </si>
  <si>
    <t>Intereses por pagar a corto plazo nacional parte relacionada</t>
  </si>
  <si>
    <t>Intereses por pagar a corto plazo extranjero parte relacionada</t>
  </si>
  <si>
    <t>Dividendo por pagar nacional</t>
  </si>
  <si>
    <t>Dividendo por pagar extranjero</t>
  </si>
  <si>
    <t>Cobros anticipados a corto plazo</t>
  </si>
  <si>
    <t>Rentas cobradas por anticipado a corto plazo nacional</t>
  </si>
  <si>
    <t>Rentas cobradas por anticipado a corto plazo extranjero</t>
  </si>
  <si>
    <t>Rentas cobradas por anticipado a corto plazo nacional parte relacionada</t>
  </si>
  <si>
    <t>Rentas cobradas por anticipado a corto plazo extranjero parte relacionada</t>
  </si>
  <si>
    <t>Intereses cobrados por anticipado a corto plazo nacional</t>
  </si>
  <si>
    <t>Intereses cobrados por anticipado a corto plazo extranjero</t>
  </si>
  <si>
    <t>Intereses cobrados por anticipado a corto plazo nacional parte relacionada</t>
  </si>
  <si>
    <t>Intereses cobrados por anticipado a corto plazo extranjero parte relacionada</t>
  </si>
  <si>
    <t>Factoraje financiero cobrados por anticipado a corto plazo nacional</t>
  </si>
  <si>
    <t>Factoraje financiero cobrados por anticipado a corto plazo extranjero</t>
  </si>
  <si>
    <t>Factoraje financiero cobrados por anticipado a corto plazo nacional parte relacionada</t>
  </si>
  <si>
    <t>Factoraje financiero cobrados por anticipado a corto plazo extranjero parte relacionada</t>
  </si>
  <si>
    <t>Arrendamiento financiero cobrados por anticipado a corto plazo nacional</t>
  </si>
  <si>
    <t>Arrendamiento financiero cobrados por anticipado a corto plazo extranjero</t>
  </si>
  <si>
    <t>Arrendamiento financiero cobrados por anticipado a corto plazo nacional parte relacionada</t>
  </si>
  <si>
    <t>Arrendamiento financiero cobrados por anticipado a corto plazo extranjero parte relacionada</t>
  </si>
  <si>
    <t>Otros cobros anticipados</t>
  </si>
  <si>
    <t>Instrumentos financieros a corto plazo</t>
  </si>
  <si>
    <t>Acreedores diversos a corto plazo</t>
  </si>
  <si>
    <t>Socios, accionistas o representante legal</t>
  </si>
  <si>
    <t>Acreedores diversos a corto plazo nacional</t>
  </si>
  <si>
    <t>Acreedores diversos a corto plazo extranjero</t>
  </si>
  <si>
    <t>Acreedores diversos a corto plazo nacional parte relacionada</t>
  </si>
  <si>
    <t>Acreedores diversos a corto plazo extranjero parte relacionada</t>
  </si>
  <si>
    <t>Otros acreedores diversos a corto plazo</t>
  </si>
  <si>
    <t>Anticipo de cliente</t>
  </si>
  <si>
    <t>Anticipo de cliente nacional</t>
  </si>
  <si>
    <t>Anticipo de cliente extranjero</t>
  </si>
  <si>
    <t>Anticipo de cliente nacional parte relacionada</t>
  </si>
  <si>
    <t>Anticipo de cliente extranjero parte relacionada</t>
  </si>
  <si>
    <t>Otros anticipos de clientes</t>
  </si>
  <si>
    <t>Impuestos trasladados</t>
  </si>
  <si>
    <t>IVA trasladado</t>
  </si>
  <si>
    <t>IEPS trasladado</t>
  </si>
  <si>
    <t>Impuestos trasladados cobrados</t>
  </si>
  <si>
    <t>IVA trasladado cobrado</t>
  </si>
  <si>
    <t>IEPS trasladado cobrado</t>
  </si>
  <si>
    <t>Impuestos trasladados no cobrados</t>
  </si>
  <si>
    <t>IVA trasladado no cobrado</t>
  </si>
  <si>
    <t>IEPS trasladado no cobrado</t>
  </si>
  <si>
    <t>Provisión de sueldos y salarios por pagar</t>
  </si>
  <si>
    <t>Provisión de vacaciones por pagar</t>
  </si>
  <si>
    <t>Provisión de aguinaldo por pagar</t>
  </si>
  <si>
    <t>Provisión de fondo de ahorro por pagar</t>
  </si>
  <si>
    <t>Provisión de asimilados a salarios por pagar</t>
  </si>
  <si>
    <t>Provisión de anticipos o remanentes por distribuir</t>
  </si>
  <si>
    <t>Provisión de otros sueldos y salarios por pagar</t>
  </si>
  <si>
    <t>Provisión de contribuciones de seguridad social por pagar</t>
  </si>
  <si>
    <t>Provisión de IMSS patronal por pagar</t>
  </si>
  <si>
    <t>Provisión de SAR por pagar</t>
  </si>
  <si>
    <t>Provisión de infonavit por pagar</t>
  </si>
  <si>
    <t>Provisión de impuesto estatal sobre nómina por pagar</t>
  </si>
  <si>
    <t>Impuestos y derechos por pagar</t>
  </si>
  <si>
    <t>IVA por pagar</t>
  </si>
  <si>
    <t>IEPS por pagar</t>
  </si>
  <si>
    <t>ISR por pagar</t>
  </si>
  <si>
    <t>Impuesto estatal sobre nómina por pagar</t>
  </si>
  <si>
    <t>Impuesto estatal y municipal por pagar</t>
  </si>
  <si>
    <t>Derechos por pagar</t>
  </si>
  <si>
    <t>Otros impuestos por pagar</t>
  </si>
  <si>
    <t>Dividendos por pagar</t>
  </si>
  <si>
    <t>PTU por pagar</t>
  </si>
  <si>
    <t>PTU por pagar de ejercicios anteriores</t>
  </si>
  <si>
    <t>Provisión de PTU por pagar</t>
  </si>
  <si>
    <t>Impuestos retenidos</t>
  </si>
  <si>
    <t>Impuestos retenidos de ISR por sueldos y salarios</t>
  </si>
  <si>
    <t>Impuestos retenidos de ISR por asimilados a salarios</t>
  </si>
  <si>
    <t>Impuestos retenidos de ISR por arrendamiento</t>
  </si>
  <si>
    <t>Impuestos retenidos de ISR por servicios profesionales</t>
  </si>
  <si>
    <t>Impuestos retenidos de ISR por dividendos</t>
  </si>
  <si>
    <t>Impuestos retenidos de ISR por intereses</t>
  </si>
  <si>
    <t>Impuestos retenidos de ISR por pagos al extranjero</t>
  </si>
  <si>
    <t>Impuestos retenidos de ISR por venta de acciones</t>
  </si>
  <si>
    <t>Impuestos retenidos de ISR por venta de partes sociales</t>
  </si>
  <si>
    <t>Impuestos retenidos de IVA</t>
  </si>
  <si>
    <t>Retenciones de IMSS a los trabajadores</t>
  </si>
  <si>
    <t>Otras impuestos retenidos</t>
  </si>
  <si>
    <t>Pagos realizados por cuenta de terceros</t>
  </si>
  <si>
    <t>Otros pasivos a corto plazo</t>
  </si>
  <si>
    <t>Pasivo a largo plazo</t>
  </si>
  <si>
    <t>Acreedores diversos a largo plazo</t>
  </si>
  <si>
    <t>Acreedores diversos a largo plazo nacional</t>
  </si>
  <si>
    <t>Acreedores diversos a largo plazo extranjero</t>
  </si>
  <si>
    <t>Acreedores diversos a largo plazo nacional parte relacionada</t>
  </si>
  <si>
    <t>Acreedores diversos a largo plazo extranjero parte relacionada</t>
  </si>
  <si>
    <t>Otros acreedores diversos a largo plazo</t>
  </si>
  <si>
    <t>Cuentas por pagar a largo plazo</t>
  </si>
  <si>
    <t>Documentos bancarios y financieros por pagar a largo plazo nacional</t>
  </si>
  <si>
    <t>Documentos bancarios y financieros por pagar a largo plazo extranjero</t>
  </si>
  <si>
    <t>Documentos y cuentas por pagar a largo plazo nacional</t>
  </si>
  <si>
    <t>Documentos y cuentas por pagar a largo plazo extranjero</t>
  </si>
  <si>
    <t>Documentos y cuentas por pagar a largo plazo nacional parte relacionada</t>
  </si>
  <si>
    <t>Documentos y cuentas por pagar a largo plazo extranjero parte relacionada</t>
  </si>
  <si>
    <t>Hipotecas por pagar a largo plazo nacional</t>
  </si>
  <si>
    <t>Hipotecas por pagar a largo plazo extranjero</t>
  </si>
  <si>
    <t>Hipotecas por pagar a largo plazo nacional parte relacionada</t>
  </si>
  <si>
    <t>Hipotecas por pagar a largo plazo extranjero parte relacionada</t>
  </si>
  <si>
    <t>Intereses por pagar a largo plazo nacional</t>
  </si>
  <si>
    <t>Intereses por pagar a largo plazo extranjero</t>
  </si>
  <si>
    <t>Intereses por pagar a largo plazo nacional parte relacionada</t>
  </si>
  <si>
    <t>Intereses por pagar a largo plazo extranjero parte relacionada</t>
  </si>
  <si>
    <t>Dividendos por pagar nacionales</t>
  </si>
  <si>
    <t>Dividendos por pagar extranjeros</t>
  </si>
  <si>
    <t>Otras cuentas y documentos por pagar a largo plazo</t>
  </si>
  <si>
    <t>Cobros anticipados a largo plazo</t>
  </si>
  <si>
    <t>Rentas cobradas por anticipado a largo plazo nacional</t>
  </si>
  <si>
    <t>Rentas cobradas por anticipado a largo plazo extranjero</t>
  </si>
  <si>
    <t>Rentas cobradas por anticipado a largo plazo nacional parte relacionada</t>
  </si>
  <si>
    <t>Rentas cobradas por anticipado a largo plazo extranjero parte relacionada</t>
  </si>
  <si>
    <t>Intereses cobrados por anticipado a largo plazo nacional</t>
  </si>
  <si>
    <t>Intereses cobrados por anticipado a largo plazo extranjero</t>
  </si>
  <si>
    <t>Intereses cobrados por anticipado a largo plazo nacional parte relacionada</t>
  </si>
  <si>
    <t>Intereses cobrados por anticipado a largo plazo extranjero parte relacionada</t>
  </si>
  <si>
    <t>Factoraje financiero cobrados por anticipado a largo plazo nacional</t>
  </si>
  <si>
    <t>Factoraje financiero cobrados por anticipado a largo plazo extranjero</t>
  </si>
  <si>
    <t>Factoraje financiero cobrados por anticipado a largo plazo nacional parte relacionada</t>
  </si>
  <si>
    <t>Factoraje financiero cobrados por anticipado a largo plazo extranjero parte relacionada</t>
  </si>
  <si>
    <t>Arrendamiento financiero cobrados por anticipado a largo plazo nacional</t>
  </si>
  <si>
    <t>Arrendamiento financiero cobrados por anticipado a largo plazo extranjero</t>
  </si>
  <si>
    <t>Arrendamiento financiero cobrados por anticipado a largo plazo nacional parte relacionada</t>
  </si>
  <si>
    <t>Arrendamiento financiero cobrados por anticipado a largo plazo extranjero parte relacionada</t>
  </si>
  <si>
    <t>Instrumentos financieros a largo plazo</t>
  </si>
  <si>
    <t>Pasivos por beneficios a los empleados a largo plazo</t>
  </si>
  <si>
    <t>Otros pasivos a largo plazo</t>
  </si>
  <si>
    <t>Participación de los trabajadores en las utilidades diferida</t>
  </si>
  <si>
    <t>Obligaciones contraídas de fideicomisos</t>
  </si>
  <si>
    <t>ISR diferido</t>
  </si>
  <si>
    <t>ISR por dividendo diferido</t>
  </si>
  <si>
    <t>Otros impuestos diferidos</t>
  </si>
  <si>
    <t>Pasivos diferidos</t>
  </si>
  <si>
    <t>Capital social</t>
  </si>
  <si>
    <t>Capital fijo</t>
  </si>
  <si>
    <t>Capital variable</t>
  </si>
  <si>
    <t>Aportaciones para futuros aumentos de capital</t>
  </si>
  <si>
    <t>Prima en suscripción de acciones</t>
  </si>
  <si>
    <t>Prima en suscripción de partes sociales</t>
  </si>
  <si>
    <t>Patrimonio</t>
  </si>
  <si>
    <t>Aportación patrimonial</t>
  </si>
  <si>
    <t>Déficit o remanente del ejercicio</t>
  </si>
  <si>
    <t>Reserva legal</t>
  </si>
  <si>
    <t>Resultado de ejercicios anteriores</t>
  </si>
  <si>
    <t>Utilidad de ejercicios anteriores</t>
  </si>
  <si>
    <t>Pérdida de ejercicios anteriores</t>
  </si>
  <si>
    <t>Resultado integral de ejercicios anteriores</t>
  </si>
  <si>
    <t>Déficit o remanente de ejercicio anteriores</t>
  </si>
  <si>
    <t>Resultado del ejercicio</t>
  </si>
  <si>
    <t>Utilidad del ejercicio</t>
  </si>
  <si>
    <t>Pérdida del ejercicio</t>
  </si>
  <si>
    <t>Resultado integral</t>
  </si>
  <si>
    <t>Otras cuentas de capital</t>
  </si>
  <si>
    <t>Ingresos</t>
  </si>
  <si>
    <t>Ventas y/o servicios gravados a la tasa general</t>
  </si>
  <si>
    <t>Ventas y/o servicios gravados a la tasa general de contado</t>
  </si>
  <si>
    <t>Ventas y/o servicios gravados a la tasa general a crédito</t>
  </si>
  <si>
    <t>Ventas y/o servicios gravados al 0%</t>
  </si>
  <si>
    <t>Ventas y/o servicios gravados al 0% de contado</t>
  </si>
  <si>
    <t>Ventas y/o servicios gravados al 0% a crédito</t>
  </si>
  <si>
    <t>Ventas y/o servicios exentos</t>
  </si>
  <si>
    <t>Ventas y/o servicios exentos de contado</t>
  </si>
  <si>
    <t>Ventas y/o servicios exentos a crédito</t>
  </si>
  <si>
    <t>Ventas y/o servicios gravados a la tasa general nacionales partes relacionadas</t>
  </si>
  <si>
    <t>Ventas y/o servicios gravados a la tasa general extranjeros partes relacionadas</t>
  </si>
  <si>
    <t>Ventas y/o servicios gravados al 0% nacionales partes relacionadas</t>
  </si>
  <si>
    <t>Ventas y/o servicios gravados al 0% extranjeros partes relacionadas</t>
  </si>
  <si>
    <t>Ventas y/o servicios exentos nacionales partes relacionadas</t>
  </si>
  <si>
    <t>Ventas y/o servicios exentos extranjeros partes relacionadas</t>
  </si>
  <si>
    <t>Ingresos por servicios administrativos</t>
  </si>
  <si>
    <t>Ingresos por servicios administrativos nacionales partes relacionadas</t>
  </si>
  <si>
    <t>Ingresos por servicios administrativos extranjeros partes relacionadas</t>
  </si>
  <si>
    <t>Ingresos por servicios profesionales</t>
  </si>
  <si>
    <t>Ingresos por servicios profesionales nacionales partes relacionadas</t>
  </si>
  <si>
    <t>Ingresos por servicios profesionales extranjeros partes relacionadas</t>
  </si>
  <si>
    <t>Ingresos por arrendamiento</t>
  </si>
  <si>
    <t>Ingresos por arrendamiento nacionales partes relacionadas</t>
  </si>
  <si>
    <t>Ingresos por arrendamiento extranjeros partes relacionadas</t>
  </si>
  <si>
    <t>Ingresos por exportación</t>
  </si>
  <si>
    <t>Ingresos por comisiones</t>
  </si>
  <si>
    <t>Ingresos por maquila</t>
  </si>
  <si>
    <t>Ingresos por coordinados</t>
  </si>
  <si>
    <t>Ingresos por regalías</t>
  </si>
  <si>
    <t>Ingresos por asistencia técnica</t>
  </si>
  <si>
    <t>Ingresos por donativos</t>
  </si>
  <si>
    <t>Ingresos por intereses (actividad propia)</t>
  </si>
  <si>
    <t>Ingresos de copropiedad</t>
  </si>
  <si>
    <t>Ingresos por fideicomisos</t>
  </si>
  <si>
    <t>Ingresos por factoraje financiero</t>
  </si>
  <si>
    <t>Ingresos por arrendamiento financiero</t>
  </si>
  <si>
    <t>Ingresos de extranjeros con establecimiento en el país</t>
  </si>
  <si>
    <t>Otros ingresos propios</t>
  </si>
  <si>
    <t>Devoluciones, descuentos o bonificaciones sobre ingresos</t>
  </si>
  <si>
    <t>Devoluciones, descuentos o bonificaciones sobre ventas y/o servicios a la tasa general</t>
  </si>
  <si>
    <t>Devoluciones, descuentos o bonificaciones sobre ventas y/o servicios al 0%</t>
  </si>
  <si>
    <t>Devoluciones, descuentos o bonificaciones sobre ventas y/o servicios exentos</t>
  </si>
  <si>
    <t>Devoluciones, descuentos o bonificaciones de otros ingresos</t>
  </si>
  <si>
    <t>Otros ingresos</t>
  </si>
  <si>
    <t>Otros Ingresos</t>
  </si>
  <si>
    <t>Otros ingresos nacionales parte relacionada</t>
  </si>
  <si>
    <t>Otros ingresos extranjeros parte relacionada</t>
  </si>
  <si>
    <t>Ingresos por operaciones discontinuas</t>
  </si>
  <si>
    <t>Ingresos por condonación de adeudo</t>
  </si>
  <si>
    <t>Costos</t>
  </si>
  <si>
    <t>Costo de venta y/o servicio</t>
  </si>
  <si>
    <t>Costo de venta</t>
  </si>
  <si>
    <t>Costo de servicios (Mano de obra)</t>
  </si>
  <si>
    <t>Materia prima directa utilizada para la producción</t>
  </si>
  <si>
    <t>Materia prima consumida en el proceso productivo</t>
  </si>
  <si>
    <t>Mano de obra directa consumida</t>
  </si>
  <si>
    <t>Mano de obra directa</t>
  </si>
  <si>
    <t>Cargos indirectos de producción</t>
  </si>
  <si>
    <t>Otros conceptos de costo</t>
  </si>
  <si>
    <t>Compras</t>
  </si>
  <si>
    <t>Compras nacionales</t>
  </si>
  <si>
    <t>Compras nacionales parte relacionada</t>
  </si>
  <si>
    <t>Compras de Importación</t>
  </si>
  <si>
    <t>Compras de Importación partes relacionadas</t>
  </si>
  <si>
    <t>Devoluciones, descuentos o bonificaciones sobre compras</t>
  </si>
  <si>
    <t>Otras cuentas de costos</t>
  </si>
  <si>
    <t>Gastos indirectos de fabricación</t>
  </si>
  <si>
    <t>Gastos indirectos de fabricación de partes relacionadas nacionales</t>
  </si>
  <si>
    <t>Gastos indirectos de fabricación de partes relacionadas extranjeras</t>
  </si>
  <si>
    <t>Otras cuentas de costos incurridos</t>
  </si>
  <si>
    <t>Otras cuentas de costos incurridos con partes relacionadas nacionales</t>
  </si>
  <si>
    <t>Otras cuentas de costos incurridos con partes relacionadas extranjeras</t>
  </si>
  <si>
    <t>Depreciación de edificios</t>
  </si>
  <si>
    <t>Depreciación de maquinaria y equipo</t>
  </si>
  <si>
    <t>Depreciación de automóviles, autobuses, camiones de carga, tractocamiones, montacargas y remolques</t>
  </si>
  <si>
    <t>Depreciación de mobiliario y equipo de oficina</t>
  </si>
  <si>
    <t>Depreciación de equipo de cómputo</t>
  </si>
  <si>
    <t>Depreciación de equipo de comunicación</t>
  </si>
  <si>
    <t>Depreciación de activos biológicos, vegetales y semovientes</t>
  </si>
  <si>
    <t>Depreciación de otros activos fijos</t>
  </si>
  <si>
    <t>Depreciación de ferrocarriles</t>
  </si>
  <si>
    <t>Depreciación de embarcaciones</t>
  </si>
  <si>
    <t>Depreciación de aviones</t>
  </si>
  <si>
    <t>Depreciación de troqueles, moldes, matrices y herramental</t>
  </si>
  <si>
    <t>Depreciación de equipo de comunicaciones telefónicas</t>
  </si>
  <si>
    <t>Depreciación de equipo de comunicación satelital</t>
  </si>
  <si>
    <t>Depreciación de equipo de adaptaciones para personas con capacidades diferentes</t>
  </si>
  <si>
    <t>Depreciación de maquinaria y equipo de generación de energía de fuentes renovables o de sistemas de cogeneración de electricidad eficiente</t>
  </si>
  <si>
    <t>Depreciación de adaptaciones y mejoras</t>
  </si>
  <si>
    <t>Depreciación de otra maquinaria y equipo</t>
  </si>
  <si>
    <t>Costo de activo fijo</t>
  </si>
  <si>
    <t>Costo por venta de activo fijo</t>
  </si>
  <si>
    <t>Costo por baja de activo fijo</t>
  </si>
  <si>
    <t>Gastos</t>
  </si>
  <si>
    <t>Gastos generales</t>
  </si>
  <si>
    <t>Sueldos y salarios</t>
  </si>
  <si>
    <t>Compensaciones</t>
  </si>
  <si>
    <t>Tiempos extras</t>
  </si>
  <si>
    <t>Premios de asistencia</t>
  </si>
  <si>
    <t>Premios de puntualidad</t>
  </si>
  <si>
    <t>Vacaciones</t>
  </si>
  <si>
    <t>Prima vacacional</t>
  </si>
  <si>
    <t>Prima dominical</t>
  </si>
  <si>
    <t>Días festivos</t>
  </si>
  <si>
    <t>Gratificaciones</t>
  </si>
  <si>
    <t>Primas de antigüedad</t>
  </si>
  <si>
    <t>Aguinaldo</t>
  </si>
  <si>
    <t>Indemnizaciones</t>
  </si>
  <si>
    <t>Destajo</t>
  </si>
  <si>
    <t>Despensa</t>
  </si>
  <si>
    <t>Transporte</t>
  </si>
  <si>
    <t>Servicio médico</t>
  </si>
  <si>
    <t>Ayuda en gastos funerarios</t>
  </si>
  <si>
    <t>Fondo de ahorro</t>
  </si>
  <si>
    <t>Cuotas sindicales</t>
  </si>
  <si>
    <t>PTU</t>
  </si>
  <si>
    <t>Estímulo al personal</t>
  </si>
  <si>
    <t>Previsión social</t>
  </si>
  <si>
    <t>Aportaciones para el plan de jubilación</t>
  </si>
  <si>
    <t>Otras prestaciones al personal</t>
  </si>
  <si>
    <t>Cuotas al IMSS</t>
  </si>
  <si>
    <t>Aportaciones al infonavit</t>
  </si>
  <si>
    <t>Aportaciones al SAR</t>
  </si>
  <si>
    <t>Impuesto estatal sobre nóminas</t>
  </si>
  <si>
    <t>Otras aportaciones</t>
  </si>
  <si>
    <t>Asimilados a salarios</t>
  </si>
  <si>
    <t>Servicios administrativos</t>
  </si>
  <si>
    <t>Servicios administrativos partes relacionadas</t>
  </si>
  <si>
    <t>Honorarios a personas físicas residentes nacionales</t>
  </si>
  <si>
    <t>Honorarios a personas físicas residentes nacionales partes relacionadas</t>
  </si>
  <si>
    <t>Honorarios a personas físicas residentes del extranjero</t>
  </si>
  <si>
    <t>Honorarios a personas físicas residentes del extranjero partes relacionadas</t>
  </si>
  <si>
    <t>Honorarios a personas morales residentes nacionales</t>
  </si>
  <si>
    <t>Honorarios a personas morales residentes nacionales partes relacionadas</t>
  </si>
  <si>
    <t>Honorarios a personas morales residentes del extranjero</t>
  </si>
  <si>
    <t>Honorarios a personas morales residentes del extranjero partes relacionadas</t>
  </si>
  <si>
    <t>Honorarios aduanales personas físicas</t>
  </si>
  <si>
    <t>Honorarios aduanales personas morales</t>
  </si>
  <si>
    <t>Honorarios al consejo de administración</t>
  </si>
  <si>
    <t>Arrendamiento a personas físicas residentes nacionales</t>
  </si>
  <si>
    <t>Arrendamiento a personas morales residentes nacionales</t>
  </si>
  <si>
    <t>Arrendamiento a residentes del extranjero</t>
  </si>
  <si>
    <t>Combustibles y lubricantes</t>
  </si>
  <si>
    <t>Viáticos y gastos de viaje</t>
  </si>
  <si>
    <t>Teléfono, internet</t>
  </si>
  <si>
    <t>Agua</t>
  </si>
  <si>
    <t>Energía eléctrica</t>
  </si>
  <si>
    <t>Vigilancia y seguridad</t>
  </si>
  <si>
    <t>Limpieza</t>
  </si>
  <si>
    <t>Papelería y artículos de oficina</t>
  </si>
  <si>
    <t>Mantenimiento y conservación</t>
  </si>
  <si>
    <t>Seguros y fianzas</t>
  </si>
  <si>
    <t>Otros impuestos y derechos</t>
  </si>
  <si>
    <t>Recargos fiscales</t>
  </si>
  <si>
    <t>Cuotas y suscripciones</t>
  </si>
  <si>
    <t>Propaganda y publicidad</t>
  </si>
  <si>
    <t>Capacitación al personal</t>
  </si>
  <si>
    <t>Donativos y ayudas</t>
  </si>
  <si>
    <t>Asistencia técnica</t>
  </si>
  <si>
    <t>Regalías sujetas a otros porcentajes</t>
  </si>
  <si>
    <t>Regalías sujetas al 5%</t>
  </si>
  <si>
    <t>Regalías sujetas al 10%</t>
  </si>
  <si>
    <t>Regalías sujetas al 15%</t>
  </si>
  <si>
    <t>Regalías sujetas al 25%</t>
  </si>
  <si>
    <t>Regalías sujetas al 30%</t>
  </si>
  <si>
    <t>Regalías sin retención</t>
  </si>
  <si>
    <t>Fletes y acarreos</t>
  </si>
  <si>
    <t>Gastos de importación</t>
  </si>
  <si>
    <t>Comisiones sobre ventas</t>
  </si>
  <si>
    <t>Comisiones por tarjetas de crédito</t>
  </si>
  <si>
    <t>Patentes y marcas</t>
  </si>
  <si>
    <t>Uniformes</t>
  </si>
  <si>
    <t>Prediales</t>
  </si>
  <si>
    <t>Gastos generales de urbanización</t>
  </si>
  <si>
    <t>Gastos generales de construcción</t>
  </si>
  <si>
    <t>Fletes del extranjero</t>
  </si>
  <si>
    <t>Recolección de bienes del sector agropecuario y/o ganadero</t>
  </si>
  <si>
    <t>Gastos no deducibles (sin requisitos fiscales)</t>
  </si>
  <si>
    <t>Otros gastos generales</t>
  </si>
  <si>
    <t>Gastos de venta</t>
  </si>
  <si>
    <t>Gastos de venta de urbanización</t>
  </si>
  <si>
    <t>Gastos de venta de construcción</t>
  </si>
  <si>
    <t>Otros gastos de venta</t>
  </si>
  <si>
    <t>Gastos de administración</t>
  </si>
  <si>
    <t>Gastos de administración de urbanización</t>
  </si>
  <si>
    <t>Gastos de administración de construcción</t>
  </si>
  <si>
    <t>Otros gastos de administración</t>
  </si>
  <si>
    <t>Gastos de fabricación</t>
  </si>
  <si>
    <t>Gastos de fabricación de urbanización</t>
  </si>
  <si>
    <t>Gastos de fabricación de construcción</t>
  </si>
  <si>
    <t>Otros gastos de fabricación</t>
  </si>
  <si>
    <t>Mano de obra</t>
  </si>
  <si>
    <t>Sueldos y Salarios</t>
  </si>
  <si>
    <t>Otros costos de mano de obra directa</t>
  </si>
  <si>
    <t>Facilidades administrativas fiscales</t>
  </si>
  <si>
    <t>Participación de los trabajadores en las utilidades</t>
  </si>
  <si>
    <t>Participación en resultados de subsidiarias</t>
  </si>
  <si>
    <t>Participación en resultados de asociadas</t>
  </si>
  <si>
    <t>Impuesto Sobre la renta</t>
  </si>
  <si>
    <t>Impuesto Sobre la renta por remanente distribuible</t>
  </si>
  <si>
    <t>Gastos no deducibles para CUFIN</t>
  </si>
  <si>
    <t>Depreciación contable</t>
  </si>
  <si>
    <t>Amortización contable</t>
  </si>
  <si>
    <t>Amortización de gastos diferidos</t>
  </si>
  <si>
    <t>Amortización de gastos pre operativos</t>
  </si>
  <si>
    <t>Amortización de regalías, asistencia técnica y otros gastos diferidos</t>
  </si>
  <si>
    <t>Amortización de activos intangibles</t>
  </si>
  <si>
    <t>Amortización de gastos de organización</t>
  </si>
  <si>
    <t>Amortización de investigación y desarrollo de mercado</t>
  </si>
  <si>
    <t>Amortización de marcas y patentes</t>
  </si>
  <si>
    <t>Amortización de crédito mercantil</t>
  </si>
  <si>
    <t>Amortización de gastos de instalación</t>
  </si>
  <si>
    <t>Amortización de otros activos diferidos</t>
  </si>
  <si>
    <t>Resultado integral de financiamiento</t>
  </si>
  <si>
    <t>Gastos financieros</t>
  </si>
  <si>
    <t>Pérdida cambiaria</t>
  </si>
  <si>
    <t>Pérdida cambiaria nacional parte relacionada</t>
  </si>
  <si>
    <t>Pérdida cambiaria extranjero parte relacionada</t>
  </si>
  <si>
    <t>Intereses a cargo bancario nacional</t>
  </si>
  <si>
    <t>Intereses a cargo bancario extranjero</t>
  </si>
  <si>
    <t>Intereses a cargo de personas físicas nacional</t>
  </si>
  <si>
    <t>Intereses a cargo de personas físicas extranjero</t>
  </si>
  <si>
    <t>Intereses a cargo de personas morales nacional</t>
  </si>
  <si>
    <t>Intereses a cargo de personas morales extranjero</t>
  </si>
  <si>
    <t>Comisiones bancarias</t>
  </si>
  <si>
    <t>Otros gastos financieros</t>
  </si>
  <si>
    <t>Productos financieros</t>
  </si>
  <si>
    <t>Utilidad cambiaria</t>
  </si>
  <si>
    <t>Utilidad cambiaria nacional parte relacionada</t>
  </si>
  <si>
    <t>Utilidad cambiaria extranjero parte relacionada</t>
  </si>
  <si>
    <t>Intereses a favor bancarios nacional</t>
  </si>
  <si>
    <t>Intereses a favor bancarios extranjero</t>
  </si>
  <si>
    <t>Intereses a favor de personas físicas nacional</t>
  </si>
  <si>
    <t>Intereses a favor de personas físicas extranjero</t>
  </si>
  <si>
    <t>Intereses a favor de personas morales nacional</t>
  </si>
  <si>
    <t>Intereses a favor de personas morales extranjero</t>
  </si>
  <si>
    <t>Otros productos financieros</t>
  </si>
  <si>
    <t>Otros gastos</t>
  </si>
  <si>
    <t>Pérdida en venta y/o baja de terrenos</t>
  </si>
  <si>
    <t>Pérdida en venta y/o baja de edificios</t>
  </si>
  <si>
    <t>Pérdida en venta y/o baja de maquinaria y equipo</t>
  </si>
  <si>
    <t>Pérdida en venta y/o baja de automóviles, autobuses, camiones de carga, tractocamiones, montacargas y remolques</t>
  </si>
  <si>
    <t>Pérdida en venta y/o baja de mobiliario y equipo de oficina</t>
  </si>
  <si>
    <t>Pérdida en venta y/o baja de equipo de cómputo</t>
  </si>
  <si>
    <t>Pérdida en venta y/o baja de equipo de comunicación</t>
  </si>
  <si>
    <t>Pérdida en venta y/o baja de activos biológicos, vegetales y semovientes</t>
  </si>
  <si>
    <t>Pérdida en venta y/o baja de otros activos fijos</t>
  </si>
  <si>
    <t>Pérdida en venta y/o baja de ferrocarriles</t>
  </si>
  <si>
    <t>Pérdida en venta y/o baja de embarcaciones</t>
  </si>
  <si>
    <t>Pérdida en venta y/o baja de aviones</t>
  </si>
  <si>
    <t>Pérdida en venta y/o baja de troqueles, moldes, matrices y herramental</t>
  </si>
  <si>
    <t>Pérdida en venta y/o baja de equipo de comunicaciones telefónicas</t>
  </si>
  <si>
    <t>Pérdida en venta y/o baja de equipo de comunicación satelital</t>
  </si>
  <si>
    <t>Pérdida en venta y/o baja de equipo de adaptaciones para personas con capacidades diferentes</t>
  </si>
  <si>
    <t>Pérdida en venta y/o baja de maquinaria y equipo de generación de energía de fuentes renovables o de sistemas de cogeneración de electricidad eficiente</t>
  </si>
  <si>
    <t>Pérdida en venta y/o baja de otra maquinaria y equipo</t>
  </si>
  <si>
    <t>Pérdida por enajenación de acciones</t>
  </si>
  <si>
    <t>Pérdida por enajenación de partes sociales</t>
  </si>
  <si>
    <t>Otros productos</t>
  </si>
  <si>
    <t>Ganancia en venta y/o baja de terrenos</t>
  </si>
  <si>
    <t>Ganancia en venta y/o baja de edificios</t>
  </si>
  <si>
    <t>Ganancia en venta y/o baja de maquinaria y equipo</t>
  </si>
  <si>
    <t>Ganancia en venta y/o baja de automóviles, autobuses, camiones de carga, tractocamiones, montacargas y remolques</t>
  </si>
  <si>
    <t>Ganancia en venta y/o baja de mobiliario y equipo de oficina</t>
  </si>
  <si>
    <t>Ganancia en venta y/o baja de equipo de cómputo</t>
  </si>
  <si>
    <t>Ganancia en venta y/o baja de equipo de comunicación</t>
  </si>
  <si>
    <t>Ganancia en venta y/o baja de activos biológicos, vegetales y semovientes</t>
  </si>
  <si>
    <t>Ganancia en venta y/o baja de otros activos fijos</t>
  </si>
  <si>
    <t>Ganancia en venta y/o baja de ferrocarriles</t>
  </si>
  <si>
    <t>Ganancia en venta y/o baja de embarcaciones</t>
  </si>
  <si>
    <t>Ganancia en venta y/o baja de aviones</t>
  </si>
  <si>
    <t>Ganancia en venta y/o baja de troqueles, moldes, matrices y herramental</t>
  </si>
  <si>
    <t>Ganancia en venta y/o baja de equipo de comunicaciones telefónicas</t>
  </si>
  <si>
    <t>Ganancia en venta y/o baja de equipo de comunicación satelital</t>
  </si>
  <si>
    <t>Ganancia en venta y/o baja de equipo de adaptaciones para personas con capacidades diferentes</t>
  </si>
  <si>
    <t>Ganancia en venta de maquinaria y equipo de generación de energía de fuentes renovables o de sistemas de cogeneración de electricidad eficiente</t>
  </si>
  <si>
    <t>Ganancia en venta y/o baja de otra maquinaria y equipo</t>
  </si>
  <si>
    <t>Ganancia por enajenación de acciones</t>
  </si>
  <si>
    <t>Ganancia por enajenación de partes sociales</t>
  </si>
  <si>
    <t>Ingresos por estímulos fiscales</t>
  </si>
  <si>
    <t>Cuentas de orden</t>
  </si>
  <si>
    <t>UFIN del ejercicio</t>
  </si>
  <si>
    <t>UFIN</t>
  </si>
  <si>
    <t>Contra cuenta UFIN</t>
  </si>
  <si>
    <t>CUFIN del ejercicio</t>
  </si>
  <si>
    <t>CUFIN</t>
  </si>
  <si>
    <t>Contra cuenta CUFIN</t>
  </si>
  <si>
    <t>CUFIN de ejercicios anteriores</t>
  </si>
  <si>
    <t>Contra cuenta CUFIN de ejercicios anteriores</t>
  </si>
  <si>
    <t>CUFINRE del ejercicio</t>
  </si>
  <si>
    <t>CUFINRE</t>
  </si>
  <si>
    <t>Contra cuenta CUFINRE</t>
  </si>
  <si>
    <t>CUFINRE de ejercicios anteriores</t>
  </si>
  <si>
    <t>Contra cuenta CUFINRE de ejercicios anteriores</t>
  </si>
  <si>
    <t>CUCA del ejercicio</t>
  </si>
  <si>
    <t>CUCA</t>
  </si>
  <si>
    <t>Contra cuenta CUCA</t>
  </si>
  <si>
    <t>CUCA de ejercicios anteriores</t>
  </si>
  <si>
    <t>Contra cuenta CUCA de ejercicios anteriores</t>
  </si>
  <si>
    <t>Ajuste anual por inflación acumulable</t>
  </si>
  <si>
    <t>Acumulación del ajuste anual inflacionario</t>
  </si>
  <si>
    <t>Ajuste anual por inflación deducible</t>
  </si>
  <si>
    <t>Deducción del ajuste anual inflacionario</t>
  </si>
  <si>
    <t>Deducción de inversión</t>
  </si>
  <si>
    <t>Contra cuenta deducción de inversiones</t>
  </si>
  <si>
    <t>Utilidad o pérdida fiscal en venta y/o baja de activo fijo</t>
  </si>
  <si>
    <t>Contra cuenta utilidad o pérdida fiscal en venta y/o baja de activo fijo</t>
  </si>
  <si>
    <t>Utilidad o pérdida fiscal en venta acciones o partes sociales</t>
  </si>
  <si>
    <t>Contra cuenta utilidad o pérdida fiscal en venta acciones o partes sociales</t>
  </si>
  <si>
    <t>Pérdidas fiscales pendientes de amortizar actualizadas de ejercicios anteriores</t>
  </si>
  <si>
    <t>Actualización de pérdidas fiscales pendientes de amortizar de ejercicios anteriores</t>
  </si>
  <si>
    <t>Mercancías recibidas en consignación</t>
  </si>
  <si>
    <t>Consignación de mercancías recibidas</t>
  </si>
  <si>
    <t>Crédito fiscal de IVA e IEPS por la importación de mercancías para empresas certificadas</t>
  </si>
  <si>
    <t>Crédito fiscal de IVA e IEPS por la importación de mercancías</t>
  </si>
  <si>
    <t>Importación de mercancías con aplicación de crédito fiscal de IVA e IEPS</t>
  </si>
  <si>
    <t>Crédito fiscal de IVA e IEPS por la importación de activos fijos para empresas certificadas</t>
  </si>
  <si>
    <t>Crédito fiscal de IVA e IEPS por la importación de activo fijo</t>
  </si>
  <si>
    <t>Importación de activo fijo con aplicación de crédito fiscal de IVA e IEPS</t>
  </si>
  <si>
    <t>Otras cuentas de orden</t>
  </si>
  <si>
    <t>Contra cuenta otras cuentas de orden</t>
  </si>
  <si>
    <t>COSTOS</t>
  </si>
  <si>
    <t>GASTOS</t>
  </si>
  <si>
    <t>Suma de HABER</t>
  </si>
  <si>
    <t>cuenta</t>
  </si>
  <si>
    <t>num</t>
  </si>
  <si>
    <t>num2</t>
  </si>
  <si>
    <t>INGRESOS</t>
  </si>
  <si>
    <t>NIVEL</t>
  </si>
  <si>
    <t>CÓDIGO AGRUPADOR</t>
  </si>
  <si>
    <t>NOMBRE DE LA CUENTA Y/O SUBCUENTA</t>
  </si>
  <si>
    <t>NO. CUENTA</t>
  </si>
  <si>
    <t>NO. CTA.</t>
  </si>
  <si>
    <t>EMPRESAS EXISTENTES EN EL PROGRAMA</t>
  </si>
  <si>
    <t>CONTROL</t>
  </si>
  <si>
    <t>HECHO POR</t>
  </si>
  <si>
    <t>REVISADO POR</t>
  </si>
  <si>
    <t>NÚMERO DE TELÉFONO</t>
  </si>
  <si>
    <t>NOMBRE DE LA EMPRESA</t>
  </si>
  <si>
    <t>A L T A   D E   E M P R E S A</t>
  </si>
  <si>
    <t>TIPO DE CUENTA</t>
  </si>
  <si>
    <t/>
  </si>
  <si>
    <t>Total Activos (Circulante + Fijos):</t>
  </si>
  <si>
    <t>NOMBRE DEL CONTADOR</t>
  </si>
  <si>
    <t>NOMBRE</t>
  </si>
  <si>
    <t>TELEFONO</t>
  </si>
  <si>
    <t xml:space="preserve">ALTA    DE    C O N T A D O R </t>
  </si>
  <si>
    <t>TELÉFONO</t>
  </si>
  <si>
    <t>GOAM851014T85</t>
  </si>
  <si>
    <t>JOAQUIN GONZALEZ GONZALEZ</t>
  </si>
  <si>
    <t>ANGELICA GONZALEZ LOZANO</t>
  </si>
  <si>
    <t>COMPRAS NETAS</t>
  </si>
  <si>
    <t>VENTAS NETAS</t>
  </si>
  <si>
    <t>GASTOS DE COMPRA</t>
  </si>
  <si>
    <t>COSTO DE VENTA</t>
  </si>
  <si>
    <t>UTILIDAD O PERDIDA</t>
  </si>
  <si>
    <t xml:space="preserve">DAYANA </t>
  </si>
  <si>
    <t>DAFFNE DAYANNA CRUZ HERNANDEZ</t>
  </si>
  <si>
    <t>CUHD080304GMM</t>
  </si>
  <si>
    <t>TIPO DE ALMACEN</t>
  </si>
  <si>
    <t>COMPRA</t>
  </si>
  <si>
    <t>DESCUENTOS SOBRE COMPRA</t>
  </si>
  <si>
    <t>VENTA</t>
  </si>
  <si>
    <t>DESCUENTO SOBRE VENTA</t>
  </si>
  <si>
    <t>BONIFICACÍON SOBRE VENTA</t>
  </si>
  <si>
    <t>REBAJA SOBRE VENTA</t>
  </si>
  <si>
    <t>DEVOLUCIÓN SOBRE VENTA</t>
  </si>
  <si>
    <t>BONIFICACIÓN SOBRE COMPRA</t>
  </si>
  <si>
    <t>REBAJA SOBRE COMPRA</t>
  </si>
  <si>
    <t>(en blanco)</t>
  </si>
  <si>
    <t>SALDOS INICIALES</t>
  </si>
  <si>
    <t>MOVIMIENTOS</t>
  </si>
  <si>
    <t>INVENTARIO INICIAL</t>
  </si>
  <si>
    <t>INVENTARIO IFINAL</t>
  </si>
  <si>
    <t>MERCANCIA DISPONIBLE</t>
  </si>
  <si>
    <t>GERRY</t>
  </si>
  <si>
    <t>AKS123212ALOS</t>
  </si>
  <si>
    <t>….</t>
  </si>
  <si>
    <t xml:space="preserve">la flor del maiz </t>
  </si>
  <si>
    <t>Suma de Activos Circulante</t>
  </si>
  <si>
    <t>Suma de Activos Fijos</t>
  </si>
  <si>
    <t>Suma de Activos</t>
  </si>
  <si>
    <t>Suma de Pasivos</t>
  </si>
  <si>
    <t>Valores</t>
  </si>
  <si>
    <t>COMPRAS</t>
  </si>
  <si>
    <t>DESCUENTO SOBRE COMPRA</t>
  </si>
  <si>
    <t>Total Activos Circulante:</t>
  </si>
  <si>
    <t>Total Activos Fijos:</t>
  </si>
  <si>
    <t>Total Pasivos:</t>
  </si>
  <si>
    <t>Capital Contable: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</si>
</sst>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_);\(&quot;$&quot;#,##0.00\)"/>
    <numFmt numFmtId="165" formatCode="_(&quot;$&quot;* #,##0.00_);_(&quot;$&quot;* \(#,##0.00\);_(&quot;$&quot;* &quot;-&quot;??_);_(@_)"/>
    <numFmt numFmtId="166" formatCode="#,##0.00_ ;\-#,##0.00\ "/>
    <numFmt numFmtId="167" formatCode="_-[$$-80A]* #,##0.00_-;\-[$$-80A]* #,##0.00_-;_-[$$-80A]* &quot;-&quot;??_-;_-@_-"/>
    <numFmt numFmtId="168" formatCode="_-[$$-80A]* #,##0_-;\-[$$-80A]* #,##0_-;_-[$$-80A]* &quot;-&quot;_-;_-@_-"/>
    <numFmt numFmtId="169" formatCode="_-* #,##0.00\ _€_-;\-* #,##0.00\ _€_-;_-* &quot;-&quot;??\ _€_-;_-@_-"/>
  </numFmts>
  <fonts count="50" x14ac:knownFonts="1">
    <font>
      <sz val="11"/>
      <color rgb="FF000000"/>
      <name val="Calibri"/>
    </font>
    <font>
      <b/>
      <sz val="24"/>
      <color theme="0"/>
      <name val="Calibri"/>
      <family val="2"/>
    </font>
    <font>
      <sz val="10"/>
      <color indexed="8"/>
      <name val="MS Sans Serif"/>
      <family val="2"/>
    </font>
    <font>
      <b/>
      <sz val="24"/>
      <color theme="0"/>
      <name val="Abadi"/>
      <family val="2"/>
    </font>
    <font>
      <sz val="11"/>
      <color rgb="FF000000"/>
      <name val="Abadi"/>
      <family val="2"/>
    </font>
    <font>
      <b/>
      <sz val="11"/>
      <color indexed="8"/>
      <name val="Abadi"/>
      <family val="2"/>
    </font>
    <font>
      <b/>
      <sz val="11"/>
      <color rgb="FF000000"/>
      <name val="Abadi"/>
      <family val="2"/>
    </font>
    <font>
      <sz val="11"/>
      <color theme="0"/>
      <name val="Abadi"/>
      <family val="2"/>
    </font>
    <font>
      <b/>
      <sz val="36"/>
      <color theme="0"/>
      <name val="Abadi"/>
      <family val="2"/>
    </font>
    <font>
      <sz val="11"/>
      <color theme="1"/>
      <name val="Abadi"/>
      <family val="2"/>
    </font>
    <font>
      <sz val="11"/>
      <color rgb="FF82302E"/>
      <name val="Abadi"/>
      <family val="2"/>
    </font>
    <font>
      <sz val="11"/>
      <color rgb="FF82302E"/>
      <name val="Calibri"/>
      <family val="2"/>
    </font>
    <font>
      <b/>
      <sz val="11"/>
      <color rgb="FF000000"/>
      <name val="Abadi"/>
      <family val="2"/>
    </font>
    <font>
      <b/>
      <sz val="11"/>
      <color theme="1"/>
      <name val="Abad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b/>
      <sz val="14"/>
      <color theme="0"/>
      <name val="Abadi"/>
      <family val="2"/>
    </font>
    <font>
      <u/>
      <sz val="11"/>
      <color theme="10"/>
      <name val="Calibri"/>
      <family val="2"/>
    </font>
    <font>
      <b/>
      <sz val="16"/>
      <color theme="1"/>
      <name val="Abadi"/>
      <family val="2"/>
    </font>
    <font>
      <b/>
      <sz val="14"/>
      <color theme="1"/>
      <name val="Abadi"/>
      <family val="2"/>
    </font>
    <font>
      <sz val="8"/>
      <name val="Calibri"/>
      <family val="2"/>
    </font>
    <font>
      <b/>
      <sz val="11"/>
      <name val="Abadi"/>
      <family val="2"/>
    </font>
    <font>
      <b/>
      <sz val="10"/>
      <color rgb="FF000000"/>
      <name val="Abadi"/>
      <family val="2"/>
    </font>
    <font>
      <b/>
      <sz val="12"/>
      <color rgb="FF000000"/>
      <name val="Abadi"/>
      <family val="2"/>
    </font>
    <font>
      <sz val="11"/>
      <name val="Abadi"/>
      <family val="2"/>
    </font>
    <font>
      <b/>
      <sz val="11"/>
      <color rgb="FF000000"/>
      <name val="Calibri"/>
      <family val="2"/>
    </font>
    <font>
      <b/>
      <sz val="8"/>
      <name val="Abadi"/>
      <family val="2"/>
    </font>
    <font>
      <sz val="8"/>
      <name val="Abadi"/>
      <family val="2"/>
    </font>
    <font>
      <b/>
      <sz val="11"/>
      <color theme="0"/>
      <name val="Abadi"/>
      <family val="2"/>
    </font>
    <font>
      <b/>
      <sz val="12"/>
      <color theme="0"/>
      <name val="Abadi"/>
      <family val="2"/>
    </font>
    <font>
      <b/>
      <sz val="11"/>
      <color rgb="FF000000"/>
      <name val="Arial"/>
      <family val="2"/>
    </font>
    <font>
      <b/>
      <sz val="11"/>
      <color rgb="FF82302E"/>
      <name val="Abadi"/>
      <family val="2"/>
    </font>
    <font>
      <sz val="8"/>
      <name val="Calibri"/>
      <family val="2"/>
    </font>
    <font>
      <b/>
      <sz val="18"/>
      <color rgb="FF000000"/>
      <name val="Abadi"/>
      <family val="2"/>
    </font>
    <font>
      <b/>
      <sz val="18"/>
      <color rgb="FF000000"/>
      <name val="Arial Black"/>
      <family val="2"/>
    </font>
    <font>
      <b/>
      <sz val="20"/>
      <name val="Abadi"/>
      <family val="2"/>
    </font>
    <font>
      <b/>
      <sz val="14"/>
      <color rgb="FF000000"/>
      <name val="Abadi"/>
      <family val="2"/>
    </font>
    <font>
      <sz val="10"/>
      <color rgb="FF000000"/>
      <name val="Abadi"/>
      <family val="2"/>
    </font>
    <font>
      <b/>
      <sz val="16"/>
      <color rgb="FF000000"/>
      <name val="Abadi"/>
      <family val="2"/>
    </font>
    <font>
      <sz val="11"/>
      <color rgb="FF0070C0"/>
      <name val="Abadi"/>
      <family val="2"/>
    </font>
    <font>
      <b/>
      <sz val="20"/>
      <color theme="0"/>
      <name val="Abadi"/>
      <family val="2"/>
    </font>
    <font>
      <b/>
      <sz val="12"/>
      <color theme="1"/>
      <name val="Abadi"/>
      <family val="2"/>
    </font>
    <font>
      <b/>
      <sz val="22"/>
      <color theme="0"/>
      <name val="Abadi"/>
      <family val="2"/>
    </font>
    <font>
      <b/>
      <sz val="16"/>
      <color theme="0"/>
      <name val="Abadi"/>
      <family val="2"/>
    </font>
    <font>
      <b/>
      <sz val="18"/>
      <color theme="0"/>
      <name val="Abadi"/>
      <family val="2"/>
    </font>
    <font>
      <b/>
      <sz val="11"/>
      <color theme="0"/>
      <name val="Calibri"/>
      <family val="2"/>
    </font>
    <font>
      <sz val="14"/>
      <color theme="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82302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rgb="FF000000"/>
      </patternFill>
    </fill>
  </fills>
  <borders count="26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1"/>
    <xf numFmtId="165" fontId="14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4" fillId="0" borderId="1"/>
    <xf numFmtId="165" fontId="14" fillId="0" borderId="1" applyFont="0" applyFill="0" applyBorder="0" applyAlignment="0" applyProtection="0"/>
    <xf numFmtId="0" fontId="18" fillId="0" borderId="1" applyNumberFormat="0" applyFill="0" applyBorder="0" applyAlignment="0" applyProtection="0"/>
  </cellStyleXfs>
  <cellXfs count="268">
    <xf numFmtId="0" fontId="0" fillId="0" borderId="0" xfId="0"/>
    <xf numFmtId="0" fontId="0" fillId="3" borderId="0" xfId="0" applyFill="1"/>
    <xf numFmtId="0" fontId="0" fillId="4" borderId="0" xfId="0" applyFill="1"/>
    <xf numFmtId="0" fontId="4" fillId="3" borderId="0" xfId="0" applyFont="1" applyFill="1" applyAlignment="1">
      <alignment horizontal="center"/>
    </xf>
    <xf numFmtId="0" fontId="4" fillId="2" borderId="2" xfId="0" applyFont="1" applyFill="1" applyBorder="1" applyProtection="1">
      <protection locked="0"/>
    </xf>
    <xf numFmtId="0" fontId="1" fillId="4" borderId="0" xfId="0" applyFont="1" applyFill="1"/>
    <xf numFmtId="0" fontId="0" fillId="2" borderId="0" xfId="0" applyFill="1"/>
    <xf numFmtId="0" fontId="9" fillId="2" borderId="2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left" vertical="center" wrapText="1"/>
    </xf>
    <xf numFmtId="0" fontId="13" fillId="2" borderId="2" xfId="0" applyFont="1" applyFill="1" applyBorder="1" applyAlignment="1">
      <alignment horizontal="center" vertical="center"/>
    </xf>
    <xf numFmtId="0" fontId="14" fillId="3" borderId="0" xfId="0" applyFont="1" applyFill="1"/>
    <xf numFmtId="0" fontId="4" fillId="2" borderId="11" xfId="0" applyFont="1" applyFill="1" applyBorder="1" applyAlignment="1" applyProtection="1">
      <alignment horizontal="right"/>
      <protection locked="0"/>
    </xf>
    <xf numFmtId="0" fontId="0" fillId="2" borderId="2" xfId="0" applyFill="1" applyBorder="1" applyAlignment="1">
      <alignment horizontal="left"/>
    </xf>
    <xf numFmtId="167" fontId="4" fillId="2" borderId="8" xfId="0" applyNumberFormat="1" applyFont="1" applyFill="1" applyBorder="1" applyAlignment="1" applyProtection="1">
      <alignment horizontal="left"/>
      <protection locked="0"/>
    </xf>
    <xf numFmtId="167" fontId="4" fillId="2" borderId="2" xfId="0" applyNumberFormat="1" applyFont="1" applyFill="1" applyBorder="1" applyAlignment="1" applyProtection="1">
      <alignment horizontal="left"/>
      <protection locked="0"/>
    </xf>
    <xf numFmtId="167" fontId="16" fillId="2" borderId="2" xfId="0" applyNumberFormat="1" applyFont="1" applyFill="1" applyBorder="1" applyAlignment="1" applyProtection="1">
      <alignment horizontal="left"/>
      <protection locked="0"/>
    </xf>
    <xf numFmtId="167" fontId="16" fillId="2" borderId="8" xfId="0" applyNumberFormat="1" applyFont="1" applyFill="1" applyBorder="1" applyAlignment="1" applyProtection="1">
      <alignment horizontal="left"/>
      <protection locked="0"/>
    </xf>
    <xf numFmtId="0" fontId="0" fillId="2" borderId="2" xfId="0" applyFill="1" applyBorder="1" applyAlignment="1">
      <alignment horizontal="center"/>
    </xf>
    <xf numFmtId="0" fontId="16" fillId="2" borderId="2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left"/>
      <protection locked="0"/>
    </xf>
    <xf numFmtId="0" fontId="4" fillId="2" borderId="11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Alignment="1" applyProtection="1">
      <alignment horizontal="left"/>
      <protection locked="0"/>
    </xf>
    <xf numFmtId="14" fontId="9" fillId="2" borderId="3" xfId="0" applyNumberFormat="1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vertical="center" wrapText="1"/>
      <protection locked="0"/>
    </xf>
    <xf numFmtId="14" fontId="9" fillId="2" borderId="3" xfId="0" applyNumberFormat="1" applyFont="1" applyFill="1" applyBorder="1" applyAlignment="1" applyProtection="1">
      <alignment vertical="center"/>
      <protection locked="0"/>
    </xf>
    <xf numFmtId="14" fontId="9" fillId="2" borderId="6" xfId="0" applyNumberFormat="1" applyFont="1" applyFill="1" applyBorder="1" applyAlignment="1" applyProtection="1">
      <alignment horizontal="center" vertical="center"/>
      <protection locked="0"/>
    </xf>
    <xf numFmtId="14" fontId="9" fillId="2" borderId="2" xfId="0" applyNumberFormat="1" applyFont="1" applyFill="1" applyBorder="1" applyAlignment="1" applyProtection="1">
      <alignment vertical="center"/>
      <protection locked="0"/>
    </xf>
    <xf numFmtId="0" fontId="9" fillId="2" borderId="3" xfId="0" applyFont="1" applyFill="1" applyBorder="1" applyAlignment="1" applyProtection="1">
      <alignment horizontal="left" vertical="center"/>
      <protection locked="0"/>
    </xf>
    <xf numFmtId="165" fontId="13" fillId="2" borderId="3" xfId="2" applyFont="1" applyFill="1" applyBorder="1" applyAlignment="1" applyProtection="1">
      <alignment vertical="center"/>
      <protection locked="0"/>
    </xf>
    <xf numFmtId="167" fontId="4" fillId="2" borderId="7" xfId="0" applyNumberFormat="1" applyFont="1" applyFill="1" applyBorder="1" applyAlignment="1" applyProtection="1">
      <alignment horizontal="left"/>
      <protection locked="0"/>
    </xf>
    <xf numFmtId="167" fontId="4" fillId="2" borderId="5" xfId="0" applyNumberFormat="1" applyFont="1" applyFill="1" applyBorder="1" applyAlignment="1" applyProtection="1">
      <alignment horizontal="left"/>
      <protection locked="0"/>
    </xf>
    <xf numFmtId="0" fontId="9" fillId="2" borderId="2" xfId="0" applyFont="1" applyFill="1" applyBorder="1" applyAlignment="1">
      <alignment horizontal="left"/>
    </xf>
    <xf numFmtId="0" fontId="9" fillId="2" borderId="6" xfId="0" applyFont="1" applyFill="1" applyBorder="1" applyAlignment="1" applyProtection="1">
      <alignment vertical="center"/>
      <protection locked="0"/>
    </xf>
    <xf numFmtId="165" fontId="9" fillId="2" borderId="3" xfId="2" applyFont="1" applyFill="1" applyBorder="1" applyAlignment="1" applyProtection="1">
      <alignment horizontal="left" vertical="top"/>
      <protection locked="0"/>
    </xf>
    <xf numFmtId="0" fontId="9" fillId="2" borderId="2" xfId="0" applyFont="1" applyFill="1" applyBorder="1" applyAlignment="1" applyProtection="1">
      <alignment wrapText="1"/>
      <protection locked="0"/>
    </xf>
    <xf numFmtId="0" fontId="0" fillId="2" borderId="2" xfId="0" applyFill="1" applyBorder="1"/>
    <xf numFmtId="0" fontId="10" fillId="2" borderId="2" xfId="0" applyFont="1" applyFill="1" applyBorder="1" applyAlignment="1">
      <alignment horizontal="center"/>
    </xf>
    <xf numFmtId="2" fontId="15" fillId="2" borderId="2" xfId="0" applyNumberFormat="1" applyFont="1" applyFill="1" applyBorder="1"/>
    <xf numFmtId="1" fontId="15" fillId="2" borderId="2" xfId="0" applyNumberFormat="1" applyFont="1" applyFill="1" applyBorder="1"/>
    <xf numFmtId="2" fontId="0" fillId="2" borderId="2" xfId="0" applyNumberFormat="1" applyFill="1" applyBorder="1"/>
    <xf numFmtId="1" fontId="0" fillId="2" borderId="2" xfId="0" applyNumberFormat="1" applyFill="1" applyBorder="1"/>
    <xf numFmtId="0" fontId="0" fillId="2" borderId="11" xfId="0" applyFill="1" applyBorder="1"/>
    <xf numFmtId="0" fontId="0" fillId="2" borderId="8" xfId="0" applyFill="1" applyBorder="1"/>
    <xf numFmtId="0" fontId="23" fillId="2" borderId="11" xfId="0" applyFont="1" applyFill="1" applyBorder="1" applyAlignment="1" applyProtection="1">
      <alignment horizontal="center" vertical="center"/>
      <protection locked="0"/>
    </xf>
    <xf numFmtId="1" fontId="23" fillId="2" borderId="11" xfId="0" applyNumberFormat="1" applyFont="1" applyFill="1" applyBorder="1" applyAlignment="1" applyProtection="1">
      <alignment horizontal="center" vertical="center"/>
      <protection locked="0"/>
    </xf>
    <xf numFmtId="0" fontId="38" fillId="2" borderId="8" xfId="0" applyFont="1" applyFill="1" applyBorder="1" applyAlignment="1" applyProtection="1">
      <alignment horizontal="center" vertical="center"/>
      <protection locked="0"/>
    </xf>
    <xf numFmtId="0" fontId="4" fillId="2" borderId="11" xfId="0" applyFont="1" applyFill="1" applyBorder="1" applyAlignment="1">
      <alignment horizontal="left" wrapText="1"/>
    </xf>
    <xf numFmtId="0" fontId="4" fillId="2" borderId="0" xfId="0" applyFont="1" applyFill="1"/>
    <xf numFmtId="166" fontId="4" fillId="2" borderId="2" xfId="0" applyNumberFormat="1" applyFont="1" applyFill="1" applyBorder="1"/>
    <xf numFmtId="0" fontId="4" fillId="2" borderId="2" xfId="0" applyFont="1" applyFill="1" applyBorder="1"/>
    <xf numFmtId="0" fontId="7" fillId="2" borderId="0" xfId="0" applyFont="1" applyFill="1"/>
    <xf numFmtId="165" fontId="4" fillId="2" borderId="4" xfId="0" applyNumberFormat="1" applyFont="1" applyFill="1" applyBorder="1"/>
    <xf numFmtId="0" fontId="4" fillId="2" borderId="13" xfId="0" applyFont="1" applyFill="1" applyBorder="1"/>
    <xf numFmtId="0" fontId="4" fillId="2" borderId="1" xfId="0" applyFont="1" applyFill="1" applyBorder="1"/>
    <xf numFmtId="169" fontId="26" fillId="2" borderId="2" xfId="0" applyNumberFormat="1" applyFont="1" applyFill="1" applyBorder="1" applyProtection="1">
      <protection locked="0"/>
    </xf>
    <xf numFmtId="0" fontId="14" fillId="2" borderId="2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0" fillId="2" borderId="1" xfId="0" applyFill="1" applyBorder="1"/>
    <xf numFmtId="0" fontId="38" fillId="2" borderId="2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left" vertical="center"/>
      <protection locked="0"/>
    </xf>
    <xf numFmtId="0" fontId="4" fillId="2" borderId="2" xfId="0" applyFont="1" applyFill="1" applyBorder="1" applyAlignment="1" applyProtection="1">
      <alignment wrapText="1"/>
      <protection locked="0"/>
    </xf>
    <xf numFmtId="165" fontId="19" fillId="2" borderId="3" xfId="2" applyFont="1" applyFill="1" applyBorder="1" applyAlignment="1" applyProtection="1">
      <alignment vertical="center"/>
      <protection locked="0"/>
    </xf>
    <xf numFmtId="0" fontId="0" fillId="3" borderId="2" xfId="0" applyFill="1" applyBorder="1"/>
    <xf numFmtId="0" fontId="14" fillId="3" borderId="2" xfId="0" applyFont="1" applyFill="1" applyBorder="1"/>
    <xf numFmtId="0" fontId="14" fillId="2" borderId="2" xfId="0" applyFont="1" applyFill="1" applyBorder="1"/>
    <xf numFmtId="0" fontId="14" fillId="3" borderId="1" xfId="0" applyFont="1" applyFill="1" applyBorder="1"/>
    <xf numFmtId="0" fontId="22" fillId="2" borderId="2" xfId="0" applyFont="1" applyFill="1" applyBorder="1" applyAlignment="1" applyProtection="1">
      <alignment wrapText="1"/>
      <protection locked="0"/>
    </xf>
    <xf numFmtId="0" fontId="6" fillId="2" borderId="2" xfId="0" applyFont="1" applyFill="1" applyBorder="1" applyAlignment="1" applyProtection="1">
      <alignment wrapText="1"/>
      <protection locked="0"/>
    </xf>
    <xf numFmtId="0" fontId="13" fillId="2" borderId="3" xfId="0" applyFont="1" applyFill="1" applyBorder="1" applyAlignment="1" applyProtection="1">
      <alignment horizontal="left" vertical="center" wrapText="1"/>
    </xf>
    <xf numFmtId="0" fontId="0" fillId="0" borderId="0" xfId="0" pivotButton="1"/>
    <xf numFmtId="0" fontId="0" fillId="0" borderId="0" xfId="0" applyNumberFormat="1"/>
    <xf numFmtId="0" fontId="16" fillId="2" borderId="0" xfId="0" applyFont="1" applyFill="1"/>
    <xf numFmtId="0" fontId="1" fillId="6" borderId="0" xfId="0" applyFont="1" applyFill="1"/>
    <xf numFmtId="0" fontId="0" fillId="6" borderId="0" xfId="0" applyFill="1"/>
    <xf numFmtId="0" fontId="0" fillId="2" borderId="0" xfId="0" applyFill="1" applyAlignment="1">
      <alignment horizontal="left"/>
    </xf>
    <xf numFmtId="0" fontId="17" fillId="2" borderId="2" xfId="0" applyFont="1" applyFill="1" applyBorder="1" applyAlignment="1">
      <alignment vertical="center"/>
    </xf>
    <xf numFmtId="0" fontId="14" fillId="2" borderId="1" xfId="0" applyFont="1" applyFill="1" applyBorder="1" applyAlignment="1">
      <alignment horizontal="center" vertical="center"/>
    </xf>
    <xf numFmtId="0" fontId="18" fillId="2" borderId="1" xfId="3" applyFill="1" applyBorder="1" applyAlignment="1" applyProtection="1">
      <alignment horizontal="center" vertical="center"/>
    </xf>
    <xf numFmtId="0" fontId="17" fillId="2" borderId="1" xfId="0" applyFont="1" applyFill="1" applyBorder="1" applyAlignment="1">
      <alignment vertical="center"/>
    </xf>
    <xf numFmtId="0" fontId="37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7" fillId="2" borderId="2" xfId="0" applyFont="1" applyFill="1" applyBorder="1" applyAlignment="1">
      <alignment horizontal="left" vertical="center"/>
    </xf>
    <xf numFmtId="0" fontId="17" fillId="2" borderId="1" xfId="0" applyFont="1" applyFill="1" applyBorder="1" applyAlignment="1">
      <alignment horizontal="left" vertical="center"/>
    </xf>
    <xf numFmtId="0" fontId="17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" fontId="0" fillId="2" borderId="0" xfId="0" applyNumberFormat="1" applyFill="1"/>
    <xf numFmtId="1" fontId="0" fillId="2" borderId="1" xfId="0" applyNumberFormat="1" applyFill="1" applyBorder="1"/>
    <xf numFmtId="0" fontId="0" fillId="6" borderId="0" xfId="0" applyFill="1" applyAlignment="1">
      <alignment vertical="center"/>
    </xf>
    <xf numFmtId="0" fontId="4" fillId="2" borderId="20" xfId="0" applyFont="1" applyFill="1" applyBorder="1" applyAlignment="1">
      <alignment horizontal="left" wrapText="1"/>
    </xf>
    <xf numFmtId="0" fontId="25" fillId="2" borderId="20" xfId="0" applyFont="1" applyFill="1" applyBorder="1" applyAlignment="1">
      <alignment horizontal="left" vertical="top" wrapText="1" indent="1"/>
    </xf>
    <xf numFmtId="1" fontId="6" fillId="2" borderId="20" xfId="0" applyNumberFormat="1" applyFont="1" applyFill="1" applyBorder="1" applyAlignment="1">
      <alignment horizontal="center" vertical="top" shrinkToFit="1"/>
    </xf>
    <xf numFmtId="1" fontId="4" fillId="2" borderId="20" xfId="0" applyNumberFormat="1" applyFont="1" applyFill="1" applyBorder="1" applyAlignment="1">
      <alignment horizontal="center" vertical="top" shrinkToFit="1"/>
    </xf>
    <xf numFmtId="1" fontId="4" fillId="2" borderId="22" xfId="0" applyNumberFormat="1" applyFont="1" applyFill="1" applyBorder="1" applyAlignment="1">
      <alignment horizontal="center" vertical="top" shrinkToFit="1"/>
    </xf>
    <xf numFmtId="0" fontId="25" fillId="2" borderId="22" xfId="0" applyFont="1" applyFill="1" applyBorder="1" applyAlignment="1">
      <alignment horizontal="left" vertical="top" wrapText="1" indent="1"/>
    </xf>
    <xf numFmtId="1" fontId="4" fillId="2" borderId="23" xfId="0" applyNumberFormat="1" applyFont="1" applyFill="1" applyBorder="1" applyAlignment="1">
      <alignment horizontal="center" vertical="top" shrinkToFit="1"/>
    </xf>
    <xf numFmtId="0" fontId="25" fillId="2" borderId="23" xfId="0" applyFont="1" applyFill="1" applyBorder="1" applyAlignment="1">
      <alignment horizontal="left" vertical="top" wrapText="1" indent="1"/>
    </xf>
    <xf numFmtId="0" fontId="22" fillId="2" borderId="20" xfId="0" applyFont="1" applyFill="1" applyBorder="1" applyAlignment="1">
      <alignment horizontal="left" vertical="top" wrapText="1"/>
    </xf>
    <xf numFmtId="0" fontId="25" fillId="2" borderId="20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29" fillId="7" borderId="2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wrapText="1"/>
    </xf>
    <xf numFmtId="0" fontId="4" fillId="2" borderId="0" xfId="0" applyFont="1" applyFill="1" applyAlignment="1">
      <alignment horizontal="left"/>
    </xf>
    <xf numFmtId="0" fontId="8" fillId="2" borderId="1" xfId="0" applyFont="1" applyFill="1" applyBorder="1" applyAlignment="1">
      <alignment vertical="center" wrapText="1"/>
    </xf>
    <xf numFmtId="0" fontId="8" fillId="2" borderId="1" xfId="0" applyFont="1" applyFill="1" applyBorder="1" applyAlignment="1">
      <alignment horizontal="left" vertical="center" wrapText="1"/>
    </xf>
    <xf numFmtId="0" fontId="0" fillId="2" borderId="0" xfId="0" applyFill="1" applyAlignment="1">
      <alignment wrapText="1"/>
    </xf>
    <xf numFmtId="0" fontId="5" fillId="2" borderId="1" xfId="1" applyFont="1" applyFill="1"/>
    <xf numFmtId="0" fontId="12" fillId="2" borderId="21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wrapText="1"/>
    </xf>
    <xf numFmtId="0" fontId="6" fillId="2" borderId="7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4" fillId="2" borderId="24" xfId="0" applyFont="1" applyFill="1" applyBorder="1"/>
    <xf numFmtId="168" fontId="4" fillId="2" borderId="0" xfId="0" applyNumberFormat="1" applyFont="1" applyFill="1"/>
    <xf numFmtId="168" fontId="0" fillId="2" borderId="0" xfId="0" applyNumberFormat="1" applyFill="1"/>
    <xf numFmtId="167" fontId="0" fillId="2" borderId="0" xfId="0" applyNumberFormat="1" applyFill="1"/>
    <xf numFmtId="0" fontId="3" fillId="6" borderId="0" xfId="0" applyFont="1" applyFill="1"/>
    <xf numFmtId="0" fontId="4" fillId="6" borderId="0" xfId="0" applyFont="1" applyFill="1"/>
    <xf numFmtId="0" fontId="29" fillId="7" borderId="11" xfId="0" applyFont="1" applyFill="1" applyBorder="1" applyAlignment="1">
      <alignment horizontal="center" vertical="center"/>
    </xf>
    <xf numFmtId="0" fontId="29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9" fillId="7" borderId="8" xfId="0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vertical="center"/>
    </xf>
    <xf numFmtId="0" fontId="0" fillId="2" borderId="0" xfId="0" applyFill="1" applyProtection="1">
      <protection locked="0"/>
    </xf>
    <xf numFmtId="0" fontId="11" fillId="2" borderId="0" xfId="0" applyFont="1" applyFill="1" applyProtection="1">
      <protection locked="0"/>
    </xf>
    <xf numFmtId="0" fontId="10" fillId="2" borderId="0" xfId="0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horizontal="left"/>
      <protection locked="0"/>
    </xf>
    <xf numFmtId="0" fontId="10" fillId="2" borderId="0" xfId="0" applyFont="1" applyFill="1" applyAlignment="1" applyProtection="1">
      <alignment wrapText="1"/>
      <protection locked="0"/>
    </xf>
    <xf numFmtId="165" fontId="25" fillId="2" borderId="0" xfId="0" applyNumberFormat="1" applyFont="1" applyFill="1" applyProtection="1">
      <protection locked="0"/>
    </xf>
    <xf numFmtId="0" fontId="10" fillId="2" borderId="0" xfId="0" applyFont="1" applyFill="1" applyProtection="1">
      <protection locked="0"/>
    </xf>
    <xf numFmtId="0" fontId="32" fillId="2" borderId="0" xfId="0" applyFont="1" applyFill="1" applyAlignment="1" applyProtection="1">
      <alignment horizontal="left"/>
      <protection locked="0"/>
    </xf>
    <xf numFmtId="0" fontId="16" fillId="2" borderId="0" xfId="0" applyFont="1" applyFill="1" applyProtection="1">
      <protection locked="0"/>
    </xf>
    <xf numFmtId="0" fontId="13" fillId="2" borderId="3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11" fillId="2" borderId="0" xfId="0" applyFont="1" applyFill="1" applyAlignment="1" applyProtection="1">
      <alignment vertical="center"/>
      <protection locked="0"/>
    </xf>
    <xf numFmtId="0" fontId="16" fillId="2" borderId="0" xfId="0" applyFont="1" applyFill="1" applyAlignment="1" applyProtection="1">
      <alignment vertical="center"/>
      <protection locked="0"/>
    </xf>
    <xf numFmtId="0" fontId="0" fillId="6" borderId="0" xfId="0" applyFill="1" applyProtection="1">
      <protection locked="0"/>
    </xf>
    <xf numFmtId="0" fontId="0" fillId="6" borderId="0" xfId="0" applyFill="1" applyAlignment="1" applyProtection="1">
      <alignment vertical="center"/>
      <protection locked="0"/>
    </xf>
    <xf numFmtId="0" fontId="17" fillId="8" borderId="24" xfId="0" applyFont="1" applyFill="1" applyBorder="1" applyAlignment="1" applyProtection="1">
      <alignment horizontal="center" vertical="center"/>
      <protection locked="0"/>
    </xf>
    <xf numFmtId="0" fontId="17" fillId="8" borderId="24" xfId="0" applyFont="1" applyFill="1" applyBorder="1" applyAlignment="1" applyProtection="1">
      <alignment horizontal="center" vertical="center" wrapText="1"/>
      <protection locked="0"/>
    </xf>
    <xf numFmtId="165" fontId="17" fillId="8" borderId="24" xfId="2" applyFont="1" applyFill="1" applyBorder="1" applyAlignment="1" applyProtection="1">
      <alignment horizontal="center" vertical="center" wrapText="1"/>
      <protection locked="0"/>
    </xf>
    <xf numFmtId="0" fontId="44" fillId="7" borderId="2" xfId="0" applyFont="1" applyFill="1" applyBorder="1" applyAlignment="1" applyProtection="1">
      <alignment horizontal="center" vertical="center"/>
      <protection locked="0"/>
    </xf>
    <xf numFmtId="0" fontId="44" fillId="7" borderId="2" xfId="0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/>
    <xf numFmtId="0" fontId="27" fillId="7" borderId="1" xfId="0" applyFont="1" applyFill="1" applyBorder="1"/>
    <xf numFmtId="0" fontId="28" fillId="7" borderId="1" xfId="0" applyFont="1" applyFill="1" applyBorder="1"/>
    <xf numFmtId="0" fontId="7" fillId="7" borderId="0" xfId="0" applyFont="1" applyFill="1"/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/>
    <xf numFmtId="166" fontId="9" fillId="2" borderId="2" xfId="0" applyNumberFormat="1" applyFont="1" applyFill="1" applyBorder="1"/>
    <xf numFmtId="0" fontId="9" fillId="2" borderId="2" xfId="0" applyFont="1" applyFill="1" applyBorder="1"/>
    <xf numFmtId="165" fontId="9" fillId="2" borderId="4" xfId="0" applyNumberFormat="1" applyFont="1" applyFill="1" applyBorder="1"/>
    <xf numFmtId="0" fontId="9" fillId="2" borderId="13" xfId="0" applyFont="1" applyFill="1" applyBorder="1"/>
    <xf numFmtId="0" fontId="9" fillId="2" borderId="0" xfId="0" applyFont="1" applyFill="1"/>
    <xf numFmtId="0" fontId="20" fillId="2" borderId="2" xfId="0" applyFont="1" applyFill="1" applyBorder="1" applyAlignment="1">
      <alignment horizontal="center"/>
    </xf>
    <xf numFmtId="0" fontId="0" fillId="2" borderId="0" xfId="0" applyFill="1" applyAlignment="1">
      <alignment horizontal="left" wrapText="1"/>
    </xf>
    <xf numFmtId="164" fontId="0" fillId="2" borderId="0" xfId="0" applyNumberFormat="1" applyFill="1"/>
    <xf numFmtId="0" fontId="31" fillId="2" borderId="2" xfId="0" applyFont="1" applyFill="1" applyBorder="1" applyAlignment="1" applyProtection="1">
      <alignment horizontal="left" vertical="center" wrapText="1"/>
      <protection locked="0"/>
    </xf>
    <xf numFmtId="165" fontId="31" fillId="2" borderId="2" xfId="2" applyFont="1" applyFill="1" applyBorder="1" applyAlignment="1" applyProtection="1">
      <alignment horizontal="center" vertical="center"/>
      <protection locked="0"/>
    </xf>
    <xf numFmtId="165" fontId="31" fillId="2" borderId="2" xfId="2" applyFont="1" applyFill="1" applyBorder="1" applyAlignment="1" applyProtection="1">
      <alignment horizontal="right" vertical="center"/>
    </xf>
    <xf numFmtId="164" fontId="31" fillId="2" borderId="2" xfId="2" applyNumberFormat="1" applyFont="1" applyFill="1" applyBorder="1" applyAlignment="1" applyProtection="1">
      <alignment horizontal="center" vertical="center"/>
      <protection locked="0"/>
    </xf>
    <xf numFmtId="0" fontId="44" fillId="2" borderId="10" xfId="0" applyFont="1" applyFill="1" applyBorder="1" applyAlignment="1">
      <alignment horizontal="center"/>
    </xf>
    <xf numFmtId="14" fontId="19" fillId="2" borderId="10" xfId="0" applyNumberFormat="1" applyFont="1" applyFill="1" applyBorder="1" applyAlignment="1">
      <alignment horizontal="center"/>
    </xf>
    <xf numFmtId="165" fontId="29" fillId="9" borderId="2" xfId="2" applyFont="1" applyFill="1" applyBorder="1" applyAlignment="1" applyProtection="1">
      <alignment horizontal="center" vertical="center"/>
    </xf>
    <xf numFmtId="165" fontId="29" fillId="9" borderId="6" xfId="2" applyFont="1" applyFill="1" applyBorder="1" applyAlignment="1" applyProtection="1">
      <alignment horizontal="center" vertical="center"/>
    </xf>
    <xf numFmtId="0" fontId="26" fillId="2" borderId="2" xfId="0" applyFont="1" applyFill="1" applyBorder="1"/>
    <xf numFmtId="0" fontId="34" fillId="2" borderId="18" xfId="0" applyFont="1" applyFill="1" applyBorder="1" applyAlignment="1" applyProtection="1">
      <alignment vertical="center"/>
      <protection locked="0"/>
    </xf>
    <xf numFmtId="0" fontId="34" fillId="2" borderId="19" xfId="0" applyFont="1" applyFill="1" applyBorder="1" applyAlignment="1" applyProtection="1">
      <alignment horizontal="left" vertical="center"/>
      <protection locked="0"/>
    </xf>
    <xf numFmtId="2" fontId="34" fillId="2" borderId="19" xfId="0" applyNumberFormat="1" applyFont="1" applyFill="1" applyBorder="1" applyAlignment="1" applyProtection="1">
      <alignment vertical="center" wrapText="1"/>
      <protection locked="0"/>
    </xf>
    <xf numFmtId="167" fontId="34" fillId="2" borderId="19" xfId="0" applyNumberFormat="1" applyFont="1" applyFill="1" applyBorder="1" applyAlignment="1" applyProtection="1">
      <alignment vertical="center"/>
      <protection locked="0"/>
    </xf>
    <xf numFmtId="167" fontId="34" fillId="2" borderId="14" xfId="0" applyNumberFormat="1" applyFont="1" applyFill="1" applyBorder="1" applyProtection="1">
      <protection locked="0"/>
    </xf>
    <xf numFmtId="0" fontId="34" fillId="2" borderId="15" xfId="0" applyFont="1" applyFill="1" applyBorder="1" applyProtection="1">
      <protection locked="0"/>
    </xf>
    <xf numFmtId="0" fontId="34" fillId="2" borderId="14" xfId="0" applyFont="1" applyFill="1" applyBorder="1" applyAlignment="1" applyProtection="1">
      <alignment horizontal="left"/>
      <protection locked="0"/>
    </xf>
    <xf numFmtId="2" fontId="34" fillId="2" borderId="14" xfId="0" applyNumberFormat="1" applyFont="1" applyFill="1" applyBorder="1" applyAlignment="1" applyProtection="1">
      <alignment wrapText="1"/>
      <protection locked="0"/>
    </xf>
    <xf numFmtId="0" fontId="34" fillId="2" borderId="16" xfId="0" applyFont="1" applyFill="1" applyBorder="1" applyProtection="1">
      <protection locked="0"/>
    </xf>
    <xf numFmtId="0" fontId="34" fillId="2" borderId="17" xfId="0" applyFont="1" applyFill="1" applyBorder="1" applyProtection="1">
      <protection locked="0"/>
    </xf>
    <xf numFmtId="0" fontId="35" fillId="2" borderId="17" xfId="0" applyFont="1" applyFill="1" applyBorder="1" applyProtection="1">
      <protection locked="0"/>
    </xf>
    <xf numFmtId="167" fontId="35" fillId="2" borderId="17" xfId="0" applyNumberFormat="1" applyFont="1" applyFill="1" applyBorder="1" applyProtection="1">
      <protection locked="0"/>
    </xf>
    <xf numFmtId="0" fontId="24" fillId="2" borderId="1" xfId="0" applyFont="1" applyFill="1" applyBorder="1" applyAlignment="1">
      <alignment horizontal="center" vertical="center"/>
    </xf>
    <xf numFmtId="0" fontId="0" fillId="6" borderId="1" xfId="0" applyFill="1" applyBorder="1"/>
    <xf numFmtId="14" fontId="29" fillId="7" borderId="2" xfId="0" applyNumberFormat="1" applyFont="1" applyFill="1" applyBorder="1" applyAlignment="1">
      <alignment horizontal="center" vertical="center"/>
    </xf>
    <xf numFmtId="14" fontId="29" fillId="10" borderId="2" xfId="0" applyNumberFormat="1" applyFont="1" applyFill="1" applyBorder="1" applyAlignment="1">
      <alignment horizontal="center" vertical="center"/>
    </xf>
    <xf numFmtId="1" fontId="29" fillId="10" borderId="2" xfId="0" applyNumberFormat="1" applyFont="1" applyFill="1" applyBorder="1" applyAlignment="1" applyProtection="1">
      <alignment horizontal="center" vertical="center"/>
      <protection locked="0"/>
    </xf>
    <xf numFmtId="0" fontId="46" fillId="9" borderId="2" xfId="0" applyFont="1" applyFill="1" applyBorder="1" applyAlignment="1">
      <alignment vertical="center"/>
    </xf>
    <xf numFmtId="0" fontId="29" fillId="9" borderId="2" xfId="0" applyFont="1" applyFill="1" applyBorder="1" applyAlignment="1">
      <alignment horizontal="center" vertical="center"/>
    </xf>
    <xf numFmtId="0" fontId="29" fillId="9" borderId="2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left" vertical="center"/>
    </xf>
    <xf numFmtId="2" fontId="0" fillId="2" borderId="0" xfId="0" applyNumberFormat="1" applyFill="1" applyAlignment="1">
      <alignment wrapText="1"/>
    </xf>
    <xf numFmtId="0" fontId="26" fillId="2" borderId="0" xfId="0" applyFont="1" applyFill="1" applyAlignment="1">
      <alignment horizontal="left"/>
    </xf>
    <xf numFmtId="0" fontId="0" fillId="2" borderId="0" xfId="0" quotePrefix="1" applyFill="1"/>
    <xf numFmtId="165" fontId="6" fillId="2" borderId="2" xfId="2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wrapText="1"/>
    </xf>
    <xf numFmtId="165" fontId="29" fillId="2" borderId="2" xfId="2" applyFont="1" applyFill="1" applyBorder="1" applyAlignment="1" applyProtection="1">
      <alignment horizontal="left" vertical="center"/>
    </xf>
    <xf numFmtId="165" fontId="29" fillId="2" borderId="2" xfId="2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>
      <alignment wrapText="1"/>
    </xf>
    <xf numFmtId="0" fontId="40" fillId="2" borderId="2" xfId="0" applyFont="1" applyFill="1" applyBorder="1" applyAlignment="1" applyProtection="1">
      <alignment wrapText="1"/>
      <protection locked="0"/>
    </xf>
    <xf numFmtId="0" fontId="30" fillId="2" borderId="2" xfId="0" applyFont="1" applyFill="1" applyBorder="1" applyAlignment="1">
      <alignment wrapText="1"/>
    </xf>
    <xf numFmtId="0" fontId="4" fillId="2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wrapText="1"/>
    </xf>
    <xf numFmtId="165" fontId="39" fillId="2" borderId="2" xfId="2" applyFont="1" applyFill="1" applyBorder="1" applyAlignment="1" applyProtection="1">
      <alignment horizontal="left" vertical="center"/>
    </xf>
    <xf numFmtId="165" fontId="39" fillId="2" borderId="2" xfId="2" applyFont="1" applyFill="1" applyBorder="1" applyAlignment="1" applyProtection="1">
      <alignment horizontal="center" vertical="center"/>
    </xf>
    <xf numFmtId="0" fontId="47" fillId="7" borderId="2" xfId="0" applyFont="1" applyFill="1" applyBorder="1" applyAlignment="1">
      <alignment horizontal="left" vertical="center"/>
    </xf>
    <xf numFmtId="14" fontId="48" fillId="7" borderId="2" xfId="0" applyNumberFormat="1" applyFont="1" applyFill="1" applyBorder="1" applyAlignment="1">
      <alignment wrapText="1"/>
    </xf>
    <xf numFmtId="165" fontId="49" fillId="7" borderId="2" xfId="2" applyFont="1" applyFill="1" applyBorder="1" applyAlignment="1" applyProtection="1">
      <alignment horizontal="center" vertical="center"/>
    </xf>
    <xf numFmtId="0" fontId="26" fillId="2" borderId="0" xfId="0" applyFont="1" applyFill="1"/>
    <xf numFmtId="167" fontId="0" fillId="2" borderId="2" xfId="0" applyNumberFormat="1" applyFill="1" applyBorder="1" applyProtection="1">
      <protection locked="0"/>
    </xf>
    <xf numFmtId="167" fontId="26" fillId="2" borderId="2" xfId="0" applyNumberFormat="1" applyFont="1" applyFill="1" applyBorder="1" applyProtection="1">
      <protection locked="0"/>
    </xf>
    <xf numFmtId="0" fontId="29" fillId="9" borderId="2" xfId="0" applyFont="1" applyFill="1" applyBorder="1" applyAlignment="1" applyProtection="1">
      <alignment horizontal="center"/>
      <protection locked="0"/>
    </xf>
    <xf numFmtId="165" fontId="29" fillId="9" borderId="2" xfId="0" applyNumberFormat="1" applyFont="1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41" fillId="7" borderId="2" xfId="0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43" fillId="7" borderId="2" xfId="0" applyFont="1" applyFill="1" applyBorder="1" applyAlignment="1" applyProtection="1">
      <alignment horizontal="center" vertical="center"/>
      <protection locked="0"/>
    </xf>
    <xf numFmtId="14" fontId="42" fillId="2" borderId="2" xfId="0" applyNumberFormat="1" applyFont="1" applyFill="1" applyBorder="1" applyAlignment="1" applyProtection="1">
      <alignment horizontal="center" vertical="center"/>
      <protection locked="0"/>
    </xf>
    <xf numFmtId="0" fontId="42" fillId="2" borderId="2" xfId="0" applyFont="1" applyFill="1" applyBorder="1" applyAlignment="1" applyProtection="1">
      <alignment horizontal="center" vertical="center"/>
      <protection locked="0"/>
    </xf>
    <xf numFmtId="0" fontId="29" fillId="7" borderId="2" xfId="0" applyFont="1" applyFill="1" applyBorder="1" applyAlignment="1">
      <alignment horizontal="center" vertical="center"/>
    </xf>
    <xf numFmtId="14" fontId="19" fillId="2" borderId="2" xfId="0" applyNumberFormat="1" applyFont="1" applyFill="1" applyBorder="1" applyAlignment="1" applyProtection="1">
      <alignment horizontal="center" vertical="center"/>
      <protection locked="0"/>
    </xf>
    <xf numFmtId="0" fontId="22" fillId="7" borderId="2" xfId="0" applyFont="1" applyFill="1" applyBorder="1" applyAlignment="1" applyProtection="1">
      <alignment horizontal="center" vertical="center"/>
      <protection locked="0"/>
    </xf>
    <xf numFmtId="0" fontId="29" fillId="9" borderId="2" xfId="0" applyFont="1" applyFill="1" applyBorder="1" applyAlignment="1" applyProtection="1">
      <alignment horizontal="center"/>
      <protection locked="0"/>
    </xf>
    <xf numFmtId="0" fontId="4" fillId="7" borderId="1" xfId="0" applyFont="1" applyFill="1" applyBorder="1" applyAlignment="1">
      <alignment horizontal="center"/>
    </xf>
    <xf numFmtId="0" fontId="41" fillId="7" borderId="2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14" fontId="20" fillId="2" borderId="8" xfId="0" applyNumberFormat="1" applyFont="1" applyFill="1" applyBorder="1" applyAlignment="1" applyProtection="1">
      <alignment horizontal="center"/>
      <protection locked="0"/>
    </xf>
    <xf numFmtId="14" fontId="20" fillId="2" borderId="11" xfId="0" applyNumberFormat="1" applyFont="1" applyFill="1" applyBorder="1" applyAlignment="1" applyProtection="1">
      <alignment horizontal="center"/>
      <protection locked="0"/>
    </xf>
    <xf numFmtId="0" fontId="29" fillId="9" borderId="2" xfId="0" applyFont="1" applyFill="1" applyBorder="1" applyAlignment="1">
      <alignment horizontal="center" vertical="center"/>
    </xf>
    <xf numFmtId="0" fontId="29" fillId="9" borderId="6" xfId="0" applyFont="1" applyFill="1" applyBorder="1" applyAlignment="1">
      <alignment horizontal="center" vertical="center" wrapText="1"/>
    </xf>
    <xf numFmtId="0" fontId="29" fillId="9" borderId="7" xfId="0" applyFont="1" applyFill="1" applyBorder="1" applyAlignment="1">
      <alignment horizontal="center" vertical="center" wrapText="1"/>
    </xf>
    <xf numFmtId="165" fontId="29" fillId="9" borderId="2" xfId="2" applyFont="1" applyFill="1" applyBorder="1" applyAlignment="1" applyProtection="1">
      <alignment horizontal="center" vertical="center" wrapText="1"/>
    </xf>
    <xf numFmtId="165" fontId="29" fillId="9" borderId="2" xfId="2" applyFont="1" applyFill="1" applyBorder="1" applyAlignment="1" applyProtection="1">
      <alignment horizontal="center" vertical="center"/>
    </xf>
    <xf numFmtId="165" fontId="29" fillId="9" borderId="8" xfId="2" applyFont="1" applyFill="1" applyBorder="1" applyAlignment="1" applyProtection="1">
      <alignment horizontal="center" vertical="center"/>
    </xf>
    <xf numFmtId="165" fontId="29" fillId="9" borderId="11" xfId="2" applyFont="1" applyFill="1" applyBorder="1" applyAlignment="1" applyProtection="1">
      <alignment horizontal="center" vertical="center"/>
    </xf>
    <xf numFmtId="0" fontId="44" fillId="7" borderId="10" xfId="0" applyFont="1" applyFill="1" applyBorder="1" applyAlignment="1">
      <alignment horizontal="center"/>
    </xf>
    <xf numFmtId="0" fontId="44" fillId="7" borderId="11" xfId="0" applyFont="1" applyFill="1" applyBorder="1" applyAlignment="1">
      <alignment horizontal="center"/>
    </xf>
    <xf numFmtId="14" fontId="44" fillId="2" borderId="10" xfId="0" applyNumberFormat="1" applyFont="1" applyFill="1" applyBorder="1" applyAlignment="1" applyProtection="1">
      <alignment horizontal="center"/>
      <protection locked="0"/>
    </xf>
    <xf numFmtId="14" fontId="44" fillId="2" borderId="11" xfId="0" applyNumberFormat="1" applyFont="1" applyFill="1" applyBorder="1" applyAlignment="1" applyProtection="1">
      <alignment horizontal="center"/>
      <protection locked="0"/>
    </xf>
    <xf numFmtId="0" fontId="4" fillId="7" borderId="8" xfId="0" applyFont="1" applyFill="1" applyBorder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165" fontId="45" fillId="7" borderId="2" xfId="0" applyNumberFormat="1" applyFont="1" applyFill="1" applyBorder="1" applyAlignment="1">
      <alignment horizontal="center" vertical="center"/>
    </xf>
    <xf numFmtId="0" fontId="45" fillId="7" borderId="2" xfId="0" applyFont="1" applyFill="1" applyBorder="1" applyAlignment="1">
      <alignment horizontal="center" vertical="center"/>
    </xf>
    <xf numFmtId="14" fontId="44" fillId="7" borderId="8" xfId="0" applyNumberFormat="1" applyFont="1" applyFill="1" applyBorder="1" applyAlignment="1" applyProtection="1">
      <alignment horizontal="center"/>
      <protection locked="0"/>
    </xf>
    <xf numFmtId="14" fontId="44" fillId="7" borderId="10" xfId="0" applyNumberFormat="1" applyFont="1" applyFill="1" applyBorder="1" applyAlignment="1" applyProtection="1">
      <alignment horizontal="center"/>
      <protection locked="0"/>
    </xf>
    <xf numFmtId="14" fontId="44" fillId="7" borderId="11" xfId="0" applyNumberFormat="1" applyFont="1" applyFill="1" applyBorder="1" applyAlignment="1" applyProtection="1">
      <alignment horizontal="center"/>
      <protection locked="0"/>
    </xf>
    <xf numFmtId="0" fontId="13" fillId="5" borderId="8" xfId="0" applyFont="1" applyFill="1" applyBorder="1" applyAlignment="1">
      <alignment horizontal="center"/>
    </xf>
    <xf numFmtId="0" fontId="13" fillId="5" borderId="10" xfId="0" applyFont="1" applyFill="1" applyBorder="1" applyAlignment="1">
      <alignment horizontal="center"/>
    </xf>
    <xf numFmtId="0" fontId="30" fillId="10" borderId="2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/>
    </xf>
    <xf numFmtId="0" fontId="24" fillId="2" borderId="6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14" fontId="22" fillId="2" borderId="2" xfId="0" applyNumberFormat="1" applyFont="1" applyFill="1" applyBorder="1" applyAlignment="1" applyProtection="1">
      <alignment horizontal="center" vertical="center"/>
      <protection locked="0"/>
    </xf>
    <xf numFmtId="0" fontId="13" fillId="2" borderId="5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23" fillId="2" borderId="8" xfId="0" applyFont="1" applyFill="1" applyBorder="1" applyAlignment="1">
      <alignment horizontal="center"/>
    </xf>
    <xf numFmtId="0" fontId="23" fillId="2" borderId="10" xfId="0" applyFont="1" applyFill="1" applyBorder="1" applyAlignment="1">
      <alignment horizontal="center"/>
    </xf>
    <xf numFmtId="0" fontId="23" fillId="2" borderId="11" xfId="0" applyFont="1" applyFill="1" applyBorder="1" applyAlignment="1">
      <alignment horizontal="center"/>
    </xf>
    <xf numFmtId="0" fontId="13" fillId="5" borderId="3" xfId="0" applyFont="1" applyFill="1" applyBorder="1" applyAlignment="1" applyProtection="1">
      <alignment horizontal="center" vertical="center"/>
      <protection locked="0"/>
    </xf>
    <xf numFmtId="0" fontId="13" fillId="5" borderId="9" xfId="0" applyFont="1" applyFill="1" applyBorder="1" applyAlignment="1" applyProtection="1">
      <alignment horizontal="center" vertical="center"/>
      <protection locked="0"/>
    </xf>
    <xf numFmtId="0" fontId="13" fillId="5" borderId="4" xfId="0" applyFont="1" applyFill="1" applyBorder="1" applyAlignment="1" applyProtection="1">
      <alignment horizontal="center" vertical="center"/>
      <protection locked="0"/>
    </xf>
    <xf numFmtId="0" fontId="41" fillId="7" borderId="8" xfId="0" applyFont="1" applyFill="1" applyBorder="1" applyAlignment="1">
      <alignment horizontal="center" vertical="center"/>
    </xf>
    <xf numFmtId="0" fontId="41" fillId="7" borderId="10" xfId="0" applyFont="1" applyFill="1" applyBorder="1" applyAlignment="1">
      <alignment horizontal="center" vertical="center"/>
    </xf>
    <xf numFmtId="0" fontId="41" fillId="7" borderId="11" xfId="0" applyFont="1" applyFill="1" applyBorder="1" applyAlignment="1">
      <alignment horizontal="center" vertical="center"/>
    </xf>
    <xf numFmtId="0" fontId="29" fillId="7" borderId="6" xfId="0" applyFont="1" applyFill="1" applyBorder="1" applyAlignment="1">
      <alignment horizontal="center" vertical="center" wrapText="1"/>
    </xf>
    <xf numFmtId="0" fontId="29" fillId="7" borderId="7" xfId="0" applyFont="1" applyFill="1" applyBorder="1" applyAlignment="1">
      <alignment horizontal="center" vertical="center" wrapText="1"/>
    </xf>
    <xf numFmtId="14" fontId="29" fillId="7" borderId="2" xfId="0" applyNumberFormat="1" applyFont="1" applyFill="1" applyBorder="1" applyAlignment="1" applyProtection="1">
      <alignment horizontal="center" vertical="center"/>
      <protection locked="0"/>
    </xf>
  </cellXfs>
  <cellStyles count="7">
    <cellStyle name="Hipervínculo" xfId="3" builtinId="8"/>
    <cellStyle name="Hipervínculo 2" xfId="6" xr:uid="{00000000-0005-0000-0000-000001000000}"/>
    <cellStyle name="Moneda" xfId="2" builtinId="4"/>
    <cellStyle name="Moneda 2" xfId="5" xr:uid="{00000000-0005-0000-0000-000003000000}"/>
    <cellStyle name="Normal" xfId="0" builtinId="0"/>
    <cellStyle name="Normal 2" xfId="4" xr:uid="{00000000-0005-0000-0000-000005000000}"/>
    <cellStyle name="Normal 3 10" xfId="1" xr:uid="{00000000-0005-0000-0000-000006000000}"/>
  </cellStyles>
  <dxfs count="19">
    <dxf>
      <font>
        <b/>
        <i val="0"/>
      </font>
    </dxf>
    <dxf>
      <fill>
        <patternFill>
          <bgColor rgb="FFFFFF99"/>
        </patternFill>
      </fill>
    </dxf>
    <dxf>
      <fill>
        <patternFill>
          <bgColor theme="8" tint="0.59996337778862885"/>
        </patternFill>
      </fill>
    </dxf>
    <dxf>
      <font>
        <b/>
        <i val="0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>
          <fgColor indexed="64"/>
          <bgColor theme="0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>
          <fgColor indexed="64"/>
          <bgColor theme="0"/>
        </patternFill>
      </fill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badi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9" defaultPivotStyle="PivotStyleMedium4"/>
  <colors>
    <mruColors>
      <color rgb="FF82302E"/>
      <color rgb="FF993300"/>
      <color rgb="FFFFC32D"/>
      <color rgb="FF000000"/>
      <color rgb="FF7F1717"/>
      <color rgb="FFFFFF99"/>
      <color rgb="FFFFFFCC"/>
      <color rgb="FF1E1700"/>
      <color rgb="FFFFEBAB"/>
      <color rgb="FFC8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contaex.github.io/ContaEx/" TargetMode="External"/><Relationship Id="rId2" Type="http://schemas.openxmlformats.org/officeDocument/2006/relationships/hyperlink" Target="https://www.facebook.com/CETISNo145MTZ?mibextid=kFxxJD" TargetMode="External"/><Relationship Id="rId1" Type="http://schemas.openxmlformats.org/officeDocument/2006/relationships/image" Target="../media/image2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acebook.com/CETISNo145MTZ?mibextid=kFxxJD" TargetMode="Externa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facebook.com/CETISNo145MTZ?mibextid=kFxxJD" TargetMode="External"/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acebook.com/CETISNo145MTZ?mibextid=kFxxJD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616323</xdr:colOff>
      <xdr:row>10</xdr:row>
      <xdr:rowOff>145676</xdr:rowOff>
    </xdr:from>
    <xdr:to>
      <xdr:col>8</xdr:col>
      <xdr:colOff>750794</xdr:colOff>
      <xdr:row>23</xdr:row>
      <xdr:rowOff>95250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D638377D-0A54-789B-0C68-B2B691272370}"/>
            </a:ext>
          </a:extLst>
        </xdr:cNvPr>
        <xdr:cNvSpPr txBox="1"/>
      </xdr:nvSpPr>
      <xdr:spPr>
        <a:xfrm>
          <a:off x="2664198" y="2050676"/>
          <a:ext cx="5420846" cy="2426074"/>
        </a:xfrm>
        <a:prstGeom prst="round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600">
              <a:solidFill>
                <a:schemeClr val="bg1"/>
              </a:solidFill>
              <a:latin typeface="Abadi" panose="020B0604020104020204" pitchFamily="34" charset="0"/>
            </a:rPr>
            <a:t>¡Hola, bienvenido a ContablEx! Nos enorgullece presentarte este programa de contabilidad, creado con dedicación por un equipo de jóvenes talentosos del CETis 145, en Martínez de la Torre, Veracruz. </a:t>
          </a:r>
        </a:p>
        <a:p>
          <a:pPr algn="l"/>
          <a:endParaRPr lang="es-MX" sz="1600">
            <a:solidFill>
              <a:schemeClr val="bg1"/>
            </a:solidFill>
            <a:latin typeface="Abadi" panose="020B0604020104020204" pitchFamily="34" charset="0"/>
          </a:endParaRPr>
        </a:p>
        <a:p>
          <a:pPr algn="l"/>
          <a:r>
            <a:rPr lang="es-MX" sz="1600">
              <a:solidFill>
                <a:schemeClr val="bg1"/>
              </a:solidFill>
              <a:latin typeface="Abadi" panose="020B0604020104020204" pitchFamily="34" charset="0"/>
            </a:rPr>
            <a:t>Somos estudiantes apasionados que creemos en la importancia de la educación y la tecnología para hacer la vida más sencilla. Por eso, hemos desarrollado ContaEx con la esperanza de facilitarte el manejo de tus finanzas.</a:t>
          </a:r>
        </a:p>
      </xdr:txBody>
    </xdr:sp>
    <xdr:clientData/>
  </xdr:twoCellAnchor>
  <xdr:twoCellAnchor editAs="oneCell">
    <xdr:from>
      <xdr:col>9</xdr:col>
      <xdr:colOff>278746</xdr:colOff>
      <xdr:row>11</xdr:row>
      <xdr:rowOff>55330</xdr:rowOff>
    </xdr:from>
    <xdr:to>
      <xdr:col>12</xdr:col>
      <xdr:colOff>107156</xdr:colOff>
      <xdr:row>22</xdr:row>
      <xdr:rowOff>74240</xdr:rowOff>
    </xdr:to>
    <xdr:pic>
      <xdr:nvPicPr>
        <xdr:cNvPr id="4" name="Imagen 3" descr="CETis No 145 - CETis No 145 added a new photo.">
          <a:extLst>
            <a:ext uri="{FF2B5EF4-FFF2-40B4-BE49-F238E27FC236}">
              <a16:creationId xmlns:a16="http://schemas.microsoft.com/office/drawing/2014/main" id="{ADBB0BC7-E6AD-3A02-9106-EE75E004F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6337" y="2150830"/>
          <a:ext cx="2114410" cy="2114410"/>
        </a:xfrm>
        <a:prstGeom prst="ellipse">
          <a:avLst/>
        </a:prstGeom>
        <a:noFill/>
        <a:ln w="76200">
          <a:solidFill>
            <a:srgbClr val="0070C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639536</xdr:colOff>
      <xdr:row>24</xdr:row>
      <xdr:rowOff>151880</xdr:rowOff>
    </xdr:from>
    <xdr:to>
      <xdr:col>9</xdr:col>
      <xdr:colOff>12007</xdr:colOff>
      <xdr:row>35</xdr:row>
      <xdr:rowOff>95250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C5905FB8-FB61-4B19-8F67-A3E7E3377D97}"/>
            </a:ext>
          </a:extLst>
        </xdr:cNvPr>
        <xdr:cNvSpPr txBox="1"/>
      </xdr:nvSpPr>
      <xdr:spPr>
        <a:xfrm>
          <a:off x="2694215" y="4723880"/>
          <a:ext cx="5427649" cy="2038870"/>
        </a:xfrm>
        <a:prstGeom prst="round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600">
              <a:solidFill>
                <a:schemeClr val="bg1"/>
              </a:solidFill>
              <a:latin typeface="Abadi" panose="020B0604020104020204" pitchFamily="34" charset="0"/>
            </a:rPr>
            <a:t>En esta herramienta encontrarás todo lo necesario para mantener tus cuentas en orden: desde el balance general y el rayado diario, hasta la póliza de diario, el esquema mayor y el balance de comprobación. Sabemos que la contabilidad puede ser compleja, pero nuestro objetivo es convertirla en un proceso amigable, eficiente y al alcance de todos.</a:t>
          </a:r>
        </a:p>
      </xdr:txBody>
    </xdr:sp>
    <xdr:clientData/>
  </xdr:twoCellAnchor>
  <xdr:twoCellAnchor>
    <xdr:from>
      <xdr:col>9</xdr:col>
      <xdr:colOff>244929</xdr:colOff>
      <xdr:row>26</xdr:row>
      <xdr:rowOff>68034</xdr:rowOff>
    </xdr:from>
    <xdr:to>
      <xdr:col>12</xdr:col>
      <xdr:colOff>312965</xdr:colOff>
      <xdr:row>29</xdr:row>
      <xdr:rowOff>95248</xdr:rowOff>
    </xdr:to>
    <xdr:sp macro="" textlink="">
      <xdr:nvSpPr>
        <xdr:cNvPr id="9" name="Rectángulo: esquinas redondeada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6F26A0-FD8F-47D6-9692-6A1AF07BAF48}"/>
            </a:ext>
          </a:extLst>
        </xdr:cNvPr>
        <xdr:cNvSpPr/>
      </xdr:nvSpPr>
      <xdr:spPr>
        <a:xfrm>
          <a:off x="8354786" y="5021034"/>
          <a:ext cx="2354036" cy="598714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rgbClr val="0070C0"/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600" b="0">
              <a:solidFill>
                <a:schemeClr val="tx1"/>
              </a:solidFill>
              <a:latin typeface="Abadi" panose="020B0604020104020204" pitchFamily="34" charset="0"/>
            </a:rPr>
            <a:t>¡Conoce</a:t>
          </a:r>
          <a:r>
            <a:rPr lang="es-MX" sz="1600" b="0" baseline="0">
              <a:solidFill>
                <a:schemeClr val="tx1"/>
              </a:solidFill>
              <a:latin typeface="Abadi" panose="020B0604020104020204" pitchFamily="34" charset="0"/>
            </a:rPr>
            <a:t> nuestro plantel!</a:t>
          </a:r>
          <a:endParaRPr lang="es-MX" sz="1600" b="0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9</xdr:col>
      <xdr:colOff>244928</xdr:colOff>
      <xdr:row>30</xdr:row>
      <xdr:rowOff>108855</xdr:rowOff>
    </xdr:from>
    <xdr:to>
      <xdr:col>12</xdr:col>
      <xdr:colOff>272143</xdr:colOff>
      <xdr:row>33</xdr:row>
      <xdr:rowOff>136069</xdr:rowOff>
    </xdr:to>
    <xdr:sp macro="" textlink="">
      <xdr:nvSpPr>
        <xdr:cNvPr id="10" name="Rectángulo: esquinas redondeada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F62D8B-8DF6-B279-FE99-504FCDF519C3}"/>
            </a:ext>
          </a:extLst>
        </xdr:cNvPr>
        <xdr:cNvSpPr/>
      </xdr:nvSpPr>
      <xdr:spPr>
        <a:xfrm>
          <a:off x="8354785" y="5823855"/>
          <a:ext cx="2313215" cy="598714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rgbClr val="0070C0"/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600" b="0">
              <a:solidFill>
                <a:schemeClr val="tx1"/>
              </a:solidFill>
              <a:latin typeface="Abadi" panose="020B0604020104020204" pitchFamily="34" charset="0"/>
            </a:rPr>
            <a:t>¡Visita</a:t>
          </a:r>
          <a:r>
            <a:rPr lang="es-MX" sz="1600" b="0" baseline="0">
              <a:solidFill>
                <a:schemeClr val="tx1"/>
              </a:solidFill>
              <a:latin typeface="Abadi" panose="020B0604020104020204" pitchFamily="34" charset="0"/>
            </a:rPr>
            <a:t> nuestra página web!</a:t>
          </a:r>
          <a:endParaRPr lang="es-MX" sz="1600" b="0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79284</xdr:colOff>
      <xdr:row>8</xdr:row>
      <xdr:rowOff>90246</xdr:rowOff>
    </xdr:from>
    <xdr:to>
      <xdr:col>0</xdr:col>
      <xdr:colOff>1945822</xdr:colOff>
      <xdr:row>38</xdr:row>
      <xdr:rowOff>100425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766B839F-007D-0896-10A0-C8EFB4B89952}"/>
            </a:ext>
          </a:extLst>
        </xdr:cNvPr>
        <xdr:cNvGrpSpPr/>
      </xdr:nvGrpSpPr>
      <xdr:grpSpPr>
        <a:xfrm>
          <a:off x="79284" y="1614246"/>
          <a:ext cx="1866538" cy="5725179"/>
          <a:chOff x="79284" y="1614246"/>
          <a:chExt cx="1866538" cy="5725179"/>
        </a:xfrm>
        <a:solidFill>
          <a:srgbClr val="0070C0"/>
        </a:solidFill>
      </xdr:grpSpPr>
      <xdr:grpSp>
        <xdr:nvGrpSpPr>
          <xdr:cNvPr id="12" name="Grupo 11">
            <a:extLst>
              <a:ext uri="{FF2B5EF4-FFF2-40B4-BE49-F238E27FC236}">
                <a16:creationId xmlns:a16="http://schemas.microsoft.com/office/drawing/2014/main" id="{811F9845-DEDE-D81B-EC12-4436B64EF5E2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  <a:grpFill/>
        </xdr:grpSpPr>
        <xdr:sp macro="[0]!ray" textlink="">
          <xdr:nvSpPr>
            <xdr:cNvPr id="3" name="Rectángulo: esquinas redondeadas 2">
              <a:extLst>
                <a:ext uri="{FF2B5EF4-FFF2-40B4-BE49-F238E27FC236}">
                  <a16:creationId xmlns:a16="http://schemas.microsoft.com/office/drawing/2014/main" id="{2FF9636B-28B0-4D66-97AE-B5756E33000E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13" name="Rectángulo: esquinas redondeadas 12">
              <a:extLst>
                <a:ext uri="{FF2B5EF4-FFF2-40B4-BE49-F238E27FC236}">
                  <a16:creationId xmlns:a16="http://schemas.microsoft.com/office/drawing/2014/main" id="{9E4FE72D-0867-464B-8849-5E04967CF9B9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14" name="Rectángulo: esquinas redondeadas 13">
              <a:extLst>
                <a:ext uri="{FF2B5EF4-FFF2-40B4-BE49-F238E27FC236}">
                  <a16:creationId xmlns:a16="http://schemas.microsoft.com/office/drawing/2014/main" id="{568E19A8-2939-4B40-B31A-D2EA888CF3F2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15" name="Rectángulo: esquinas redondeadas 14">
              <a:extLst>
                <a:ext uri="{FF2B5EF4-FFF2-40B4-BE49-F238E27FC236}">
                  <a16:creationId xmlns:a16="http://schemas.microsoft.com/office/drawing/2014/main" id="{57AF469B-51A2-4A90-BF84-4F9EDEFE8F78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16" name="Rectángulo: esquinas redondeadas 15">
              <a:extLst>
                <a:ext uri="{FF2B5EF4-FFF2-40B4-BE49-F238E27FC236}">
                  <a16:creationId xmlns:a16="http://schemas.microsoft.com/office/drawing/2014/main" id="{714DFAF8-B0FD-4D11-AD83-36B3C8532C59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17" name="Rectángulo: esquinas redondeadas 16">
              <a:extLst>
                <a:ext uri="{FF2B5EF4-FFF2-40B4-BE49-F238E27FC236}">
                  <a16:creationId xmlns:a16="http://schemas.microsoft.com/office/drawing/2014/main" id="{D9818B16-077E-4EC3-9B63-2A4196D14FF0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18" name="Rectángulo: esquinas redondeadas 17">
              <a:extLst>
                <a:ext uri="{FF2B5EF4-FFF2-40B4-BE49-F238E27FC236}">
                  <a16:creationId xmlns:a16="http://schemas.microsoft.com/office/drawing/2014/main" id="{C126AE06-7351-4766-AC99-41A1B8FDD4E9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4" name="Rectángulo: esquinas redondeadas 23">
              <a:extLst>
                <a:ext uri="{FF2B5EF4-FFF2-40B4-BE49-F238E27FC236}">
                  <a16:creationId xmlns:a16="http://schemas.microsoft.com/office/drawing/2014/main" id="{088E9F4E-BA13-4417-AF2A-2AF915E2F47D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6" name="Rectángulo: esquinas redondeadas 25">
              <a:extLst>
                <a:ext uri="{FF2B5EF4-FFF2-40B4-BE49-F238E27FC236}">
                  <a16:creationId xmlns:a16="http://schemas.microsoft.com/office/drawing/2014/main" id="{65348C6B-D9D4-4A86-A15D-CF261C5C1AE9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rgbClr val="0070C0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tx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tx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tx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67858B07-3936-4AA0-90AC-9B11C7AACD2C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39B3EAF8-DF7B-47F2-A999-7F0F87602EB5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grpFill/>
          <a:ln w="19050">
            <a:solidFill>
              <a:schemeClr val="bg1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231322</xdr:colOff>
      <xdr:row>7</xdr:row>
      <xdr:rowOff>168088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863138B9-4032-0E5A-3AFC-F3DEF083D7F4}"/>
            </a:ext>
          </a:extLst>
        </xdr:cNvPr>
        <xdr:cNvGrpSpPr/>
      </xdr:nvGrpSpPr>
      <xdr:grpSpPr>
        <a:xfrm>
          <a:off x="0" y="0"/>
          <a:ext cx="11389179" cy="1501588"/>
          <a:chOff x="0" y="0"/>
          <a:chExt cx="11389179" cy="1501588"/>
        </a:xfrm>
      </xdr:grpSpPr>
      <xdr:grpSp>
        <xdr:nvGrpSpPr>
          <xdr:cNvPr id="28" name="Grupo 27">
            <a:extLst>
              <a:ext uri="{FF2B5EF4-FFF2-40B4-BE49-F238E27FC236}">
                <a16:creationId xmlns:a16="http://schemas.microsoft.com/office/drawing/2014/main" id="{BF2AFF1D-9348-4602-9A1E-83466006C459}"/>
              </a:ext>
            </a:extLst>
          </xdr:cNvPr>
          <xdr:cNvGrpSpPr/>
        </xdr:nvGrpSpPr>
        <xdr:grpSpPr>
          <a:xfrm>
            <a:off x="0" y="0"/>
            <a:ext cx="11389179" cy="1501588"/>
            <a:chOff x="0" y="0"/>
            <a:chExt cx="11368149" cy="1501588"/>
          </a:xfrm>
        </xdr:grpSpPr>
        <xdr:sp macro="" textlink="">
          <xdr:nvSpPr>
            <xdr:cNvPr id="29" name="Paralelogramo 28">
              <a:extLst>
                <a:ext uri="{FF2B5EF4-FFF2-40B4-BE49-F238E27FC236}">
                  <a16:creationId xmlns:a16="http://schemas.microsoft.com/office/drawing/2014/main" id="{BBD56309-C640-3093-D918-22E1C14AF997}"/>
                </a:ext>
              </a:extLst>
            </xdr:cNvPr>
            <xdr:cNvSpPr/>
          </xdr:nvSpPr>
          <xdr:spPr>
            <a:xfrm>
              <a:off x="0" y="0"/>
              <a:ext cx="11368149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30" name="Rectángulo 29">
              <a:extLst>
                <a:ext uri="{FF2B5EF4-FFF2-40B4-BE49-F238E27FC236}">
                  <a16:creationId xmlns:a16="http://schemas.microsoft.com/office/drawing/2014/main" id="{FA80470D-E441-512C-FB03-12DA74EE2761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</xdr:grpSp>
      <xdr:pic>
        <xdr:nvPicPr>
          <xdr:cNvPr id="7" name="Imagen 6">
            <a:extLst>
              <a:ext uri="{FF2B5EF4-FFF2-40B4-BE49-F238E27FC236}">
                <a16:creationId xmlns:a16="http://schemas.microsoft.com/office/drawing/2014/main" id="{0BD90360-F529-C275-99EF-B8AE5BFF7D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497037" y="68037"/>
            <a:ext cx="4435928" cy="1406366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1687540</xdr:colOff>
      <xdr:row>19</xdr:row>
      <xdr:rowOff>247921</xdr:rowOff>
    </xdr:from>
    <xdr:to>
      <xdr:col>3</xdr:col>
      <xdr:colOff>1818897</xdr:colOff>
      <xdr:row>20</xdr:row>
      <xdr:rowOff>226921</xdr:rowOff>
    </xdr:to>
    <xdr:sp macro="[0]!ALTAEMPRESA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EE9EDDFB-E560-4758-BAC5-07877E4069F3}"/>
            </a:ext>
          </a:extLst>
        </xdr:cNvPr>
        <xdr:cNvSpPr/>
      </xdr:nvSpPr>
      <xdr:spPr>
        <a:xfrm>
          <a:off x="4259290" y="4438921"/>
          <a:ext cx="2866393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38100">
          <a:solidFill>
            <a:srgbClr val="0070C0"/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600" b="1">
              <a:solidFill>
                <a:schemeClr val="tx1"/>
              </a:solidFill>
              <a:latin typeface="Abadi" panose="020B0604020104020204" pitchFamily="34" charset="0"/>
            </a:rPr>
            <a:t>ALTA DE</a:t>
          </a:r>
          <a:r>
            <a:rPr lang="es-MX" sz="1600" b="1" baseline="0">
              <a:solidFill>
                <a:schemeClr val="tx1"/>
              </a:solidFill>
              <a:latin typeface="Abadi" panose="020B0604020104020204" pitchFamily="34" charset="0"/>
            </a:rPr>
            <a:t> EMPRESA</a:t>
          </a:r>
          <a:endParaRPr lang="es-MX" sz="16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176893</xdr:colOff>
      <xdr:row>12</xdr:row>
      <xdr:rowOff>40821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4812C329-BB54-1E45-635B-0B8CB845EB84}"/>
            </a:ext>
          </a:extLst>
        </xdr:cNvPr>
        <xdr:cNvGrpSpPr/>
      </xdr:nvGrpSpPr>
      <xdr:grpSpPr>
        <a:xfrm>
          <a:off x="0" y="0"/>
          <a:ext cx="10069286" cy="2326821"/>
          <a:chOff x="0" y="0"/>
          <a:chExt cx="10069869" cy="2368104"/>
        </a:xfrm>
      </xdr:grpSpPr>
      <xdr:grpSp>
        <xdr:nvGrpSpPr>
          <xdr:cNvPr id="39" name="Grupo 38">
            <a:extLst>
              <a:ext uri="{FF2B5EF4-FFF2-40B4-BE49-F238E27FC236}">
                <a16:creationId xmlns:a16="http://schemas.microsoft.com/office/drawing/2014/main" id="{EDC300E4-C76D-E4F6-095A-4EF27F97A28B}"/>
              </a:ext>
            </a:extLst>
          </xdr:cNvPr>
          <xdr:cNvGrpSpPr/>
        </xdr:nvGrpSpPr>
        <xdr:grpSpPr>
          <a:xfrm>
            <a:off x="2191558" y="1206893"/>
            <a:ext cx="7878311" cy="1161211"/>
            <a:chOff x="3175378" y="1382534"/>
            <a:chExt cx="6105453" cy="1120729"/>
          </a:xfrm>
        </xdr:grpSpPr>
        <xdr:sp macro="" textlink="">
          <xdr:nvSpPr>
            <xdr:cNvPr id="44" name="Rectángulo: esquinas redondeadas 43">
              <a:extLst>
                <a:ext uri="{FF2B5EF4-FFF2-40B4-BE49-F238E27FC236}">
                  <a16:creationId xmlns:a16="http://schemas.microsoft.com/office/drawing/2014/main" id="{BBC05B68-8425-C9D8-7B7D-93DE02503CC1}"/>
                </a:ext>
              </a:extLst>
            </xdr:cNvPr>
            <xdr:cNvSpPr/>
          </xdr:nvSpPr>
          <xdr:spPr>
            <a:xfrm>
              <a:off x="3175378" y="1382534"/>
              <a:ext cx="6105453" cy="1120729"/>
            </a:xfrm>
            <a:prstGeom prst="roundRect">
              <a:avLst>
                <a:gd name="adj" fmla="val 32796"/>
              </a:avLst>
            </a:prstGeom>
            <a:solidFill>
              <a:srgbClr val="0070C0"/>
            </a:solidFill>
            <a:ln>
              <a:noFill/>
            </a:ln>
            <a:effectLst>
              <a:outerShdw blurRad="165100" dist="76200" dir="5400000" rotWithShape="0">
                <a:srgbClr val="000000">
                  <a:alpha val="35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>
                <a:solidFill>
                  <a:srgbClr val="0070C0"/>
                </a:solidFill>
              </a:endParaRPr>
            </a:p>
          </xdr:txBody>
        </xdr:sp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43B6EA87-0262-FADD-B31F-AB2517486503}"/>
                </a:ext>
              </a:extLst>
            </xdr:cNvPr>
            <xdr:cNvSpPr txBox="1"/>
          </xdr:nvSpPr>
          <xdr:spPr>
            <a:xfrm>
              <a:off x="3233971" y="1816682"/>
              <a:ext cx="5951948" cy="666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4000" b="1">
                  <a:solidFill>
                    <a:schemeClr val="bg1"/>
                  </a:solidFill>
                  <a:latin typeface="Abadi" panose="020B0604020104020204" pitchFamily="34" charset="0"/>
                </a:rPr>
                <a:t>ALTA</a:t>
              </a:r>
              <a:r>
                <a:rPr lang="es-MX" sz="4000" b="1" baseline="0">
                  <a:solidFill>
                    <a:schemeClr val="bg1"/>
                  </a:solidFill>
                  <a:latin typeface="Abadi" panose="020B0604020104020204" pitchFamily="34" charset="0"/>
                </a:rPr>
                <a:t> DE EMPRESA </a:t>
              </a:r>
              <a:endParaRPr lang="es-MX" sz="4000" b="1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230D8B18-E13D-E4A9-C109-9CDC2B293DC6}"/>
              </a:ext>
            </a:extLst>
          </xdr:cNvPr>
          <xdr:cNvSpPr/>
        </xdr:nvSpPr>
        <xdr:spPr>
          <a:xfrm>
            <a:off x="0" y="0"/>
            <a:ext cx="1066045" cy="1496787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</xdr:grpSp>
    <xdr:clientData fPrintsWithSheet="0"/>
  </xdr:twoCellAnchor>
  <xdr:twoCellAnchor editAs="absolute">
    <xdr:from>
      <xdr:col>2</xdr:col>
      <xdr:colOff>1725890</xdr:colOff>
      <xdr:row>26</xdr:row>
      <xdr:rowOff>224827</xdr:rowOff>
    </xdr:from>
    <xdr:to>
      <xdr:col>3</xdr:col>
      <xdr:colOff>1809622</xdr:colOff>
      <xdr:row>27</xdr:row>
      <xdr:rowOff>203827</xdr:rowOff>
    </xdr:to>
    <xdr:sp macro="[0]!Macro2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EB9AD794-4965-44B1-B0FF-FE1A87B5B918}"/>
            </a:ext>
          </a:extLst>
        </xdr:cNvPr>
        <xdr:cNvSpPr/>
      </xdr:nvSpPr>
      <xdr:spPr>
        <a:xfrm>
          <a:off x="4297640" y="7273327"/>
          <a:ext cx="2818768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38100">
          <a:solidFill>
            <a:srgbClr val="0070C0"/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600" b="1">
              <a:solidFill>
                <a:schemeClr val="tx1"/>
              </a:solidFill>
              <a:latin typeface="Abadi" panose="020B0604020104020204" pitchFamily="34" charset="0"/>
            </a:rPr>
            <a:t>ALTA</a:t>
          </a:r>
          <a:r>
            <a:rPr lang="es-MX" sz="1600" b="1" baseline="0">
              <a:solidFill>
                <a:schemeClr val="tx1"/>
              </a:solidFill>
              <a:latin typeface="Abadi" panose="020B0604020104020204" pitchFamily="34" charset="0"/>
            </a:rPr>
            <a:t> DE CONTADOR</a:t>
          </a:r>
          <a:endParaRPr lang="es-MX" sz="16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81642</xdr:colOff>
      <xdr:row>8</xdr:row>
      <xdr:rowOff>68037</xdr:rowOff>
    </xdr:from>
    <xdr:to>
      <xdr:col>0</xdr:col>
      <xdr:colOff>1948180</xdr:colOff>
      <xdr:row>26</xdr:row>
      <xdr:rowOff>268716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B75D91A-19C2-4A75-AB76-6206BE7A3F77}"/>
            </a:ext>
          </a:extLst>
        </xdr:cNvPr>
        <xdr:cNvGrpSpPr/>
      </xdr:nvGrpSpPr>
      <xdr:grpSpPr>
        <a:xfrm>
          <a:off x="81642" y="1592037"/>
          <a:ext cx="1866538" cy="5725179"/>
          <a:chOff x="79284" y="1614246"/>
          <a:chExt cx="1866538" cy="5725179"/>
        </a:xfrm>
        <a:solidFill>
          <a:srgbClr val="0070C0"/>
        </a:solidFill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FC2EA57C-AF28-A298-90AF-481F14E080E0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  <a:grpFill/>
        </xdr:grpSpPr>
        <xdr:sp macro="[0]!ray" textlink="">
          <xdr:nvSpPr>
            <xdr:cNvPr id="18" name="Rectángulo: esquinas redondeadas 17">
              <a:extLst>
                <a:ext uri="{FF2B5EF4-FFF2-40B4-BE49-F238E27FC236}">
                  <a16:creationId xmlns:a16="http://schemas.microsoft.com/office/drawing/2014/main" id="{53BCE42F-1A4A-0F47-F844-83A7BA78CAF4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19" name="Rectángulo: esquinas redondeadas 18">
              <a:extLst>
                <a:ext uri="{FF2B5EF4-FFF2-40B4-BE49-F238E27FC236}">
                  <a16:creationId xmlns:a16="http://schemas.microsoft.com/office/drawing/2014/main" id="{0D26FB48-DFCE-D8B7-D941-FED3D5430760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20" name="Rectángulo: esquinas redondeadas 19">
              <a:extLst>
                <a:ext uri="{FF2B5EF4-FFF2-40B4-BE49-F238E27FC236}">
                  <a16:creationId xmlns:a16="http://schemas.microsoft.com/office/drawing/2014/main" id="{F3F1FC5D-98B4-1822-9784-3EA73F6AB8E0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21" name="Rectángulo: esquinas redondeadas 20">
              <a:extLst>
                <a:ext uri="{FF2B5EF4-FFF2-40B4-BE49-F238E27FC236}">
                  <a16:creationId xmlns:a16="http://schemas.microsoft.com/office/drawing/2014/main" id="{95661414-1BB2-D311-010F-7156387598E9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BEEFD8A0-FAD2-8590-AF13-CAB62F21CA91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02E97774-FFA1-6860-2CFB-6D418A112E01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25" name="Rectángulo: esquinas redondeadas 24">
              <a:extLst>
                <a:ext uri="{FF2B5EF4-FFF2-40B4-BE49-F238E27FC236}">
                  <a16:creationId xmlns:a16="http://schemas.microsoft.com/office/drawing/2014/main" id="{8B18725C-F0A2-0381-64E1-06CEF44EB9C6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6" name="Rectángulo: esquinas redondeadas 25">
              <a:extLst>
                <a:ext uri="{FF2B5EF4-FFF2-40B4-BE49-F238E27FC236}">
                  <a16:creationId xmlns:a16="http://schemas.microsoft.com/office/drawing/2014/main" id="{4FEBBBE2-D94B-7205-66B8-3F566FD7E5BD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B99FDDEE-63CD-29C1-CD7E-680E45F9E3AB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EB75A812-1AAD-C9D5-7D56-CA2DEB9550E9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rgbClr val="0070C0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tx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17" name="Rectángulo: esquinas redondeadas 16">
            <a:extLst>
              <a:ext uri="{FF2B5EF4-FFF2-40B4-BE49-F238E27FC236}">
                <a16:creationId xmlns:a16="http://schemas.microsoft.com/office/drawing/2014/main" id="{F3C6AD43-FB7C-30A8-77D8-AA88BC4356FA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grpFill/>
          <a:ln w="19050">
            <a:solidFill>
              <a:schemeClr val="bg1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1496786</xdr:colOff>
      <xdr:row>7</xdr:row>
      <xdr:rowOff>168088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F1891E6B-FAEC-474C-843B-604A5AB71437}"/>
            </a:ext>
          </a:extLst>
        </xdr:cNvPr>
        <xdr:cNvGrpSpPr/>
      </xdr:nvGrpSpPr>
      <xdr:grpSpPr>
        <a:xfrm>
          <a:off x="0" y="0"/>
          <a:ext cx="11389179" cy="1501588"/>
          <a:chOff x="0" y="0"/>
          <a:chExt cx="11389179" cy="1501588"/>
        </a:xfrm>
      </xdr:grpSpPr>
      <xdr:grpSp>
        <xdr:nvGrpSpPr>
          <xdr:cNvPr id="3" name="Grupo 2">
            <a:extLst>
              <a:ext uri="{FF2B5EF4-FFF2-40B4-BE49-F238E27FC236}">
                <a16:creationId xmlns:a16="http://schemas.microsoft.com/office/drawing/2014/main" id="{F0305945-048D-23B8-9166-5F25C70AACDF}"/>
              </a:ext>
            </a:extLst>
          </xdr:cNvPr>
          <xdr:cNvGrpSpPr/>
        </xdr:nvGrpSpPr>
        <xdr:grpSpPr>
          <a:xfrm>
            <a:off x="0" y="0"/>
            <a:ext cx="11389179" cy="1501588"/>
            <a:chOff x="0" y="0"/>
            <a:chExt cx="11368149" cy="1501588"/>
          </a:xfrm>
        </xdr:grpSpPr>
        <xdr:sp macro="" textlink="">
          <xdr:nvSpPr>
            <xdr:cNvPr id="5" name="Paralelogramo 4">
              <a:extLst>
                <a:ext uri="{FF2B5EF4-FFF2-40B4-BE49-F238E27FC236}">
                  <a16:creationId xmlns:a16="http://schemas.microsoft.com/office/drawing/2014/main" id="{459255CD-993C-D294-6A2A-8B92D9480611}"/>
                </a:ext>
              </a:extLst>
            </xdr:cNvPr>
            <xdr:cNvSpPr/>
          </xdr:nvSpPr>
          <xdr:spPr>
            <a:xfrm>
              <a:off x="0" y="0"/>
              <a:ext cx="11368149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6" name="Rectángulo 5">
              <a:extLst>
                <a:ext uri="{FF2B5EF4-FFF2-40B4-BE49-F238E27FC236}">
                  <a16:creationId xmlns:a16="http://schemas.microsoft.com/office/drawing/2014/main" id="{06B089CB-9282-13D9-27C1-7C844E0FE2AF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</xdr:grpSp>
      <xdr:pic>
        <xdr:nvPicPr>
          <xdr:cNvPr id="4" name="Imagen 3">
            <a:extLst>
              <a:ext uri="{FF2B5EF4-FFF2-40B4-BE49-F238E27FC236}">
                <a16:creationId xmlns:a16="http://schemas.microsoft.com/office/drawing/2014/main" id="{94175697-DB48-F611-DB0F-D148A8D04E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497037" y="68037"/>
            <a:ext cx="4435928" cy="140636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153523</xdr:colOff>
      <xdr:row>5</xdr:row>
      <xdr:rowOff>142661</xdr:rowOff>
    </xdr:from>
    <xdr:to>
      <xdr:col>4</xdr:col>
      <xdr:colOff>5991022</xdr:colOff>
      <xdr:row>12</xdr:row>
      <xdr:rowOff>55966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9A376BCE-8043-47DE-9A02-0106CDF278EF}"/>
            </a:ext>
          </a:extLst>
        </xdr:cNvPr>
        <xdr:cNvGrpSpPr/>
      </xdr:nvGrpSpPr>
      <xdr:grpSpPr>
        <a:xfrm>
          <a:off x="2725273" y="1095161"/>
          <a:ext cx="8531713" cy="1246805"/>
          <a:chOff x="3479914" y="1313096"/>
          <a:chExt cx="6265887" cy="1247056"/>
        </a:xfrm>
      </xdr:grpSpPr>
      <xdr:sp macro="" textlink="">
        <xdr:nvSpPr>
          <xdr:cNvPr id="18" name="Rectángulo: esquinas redondeadas 17">
            <a:extLst>
              <a:ext uri="{FF2B5EF4-FFF2-40B4-BE49-F238E27FC236}">
                <a16:creationId xmlns:a16="http://schemas.microsoft.com/office/drawing/2014/main" id="{7702E473-CE7A-497D-E036-19CBBC43A148}"/>
              </a:ext>
            </a:extLst>
          </xdr:cNvPr>
          <xdr:cNvSpPr/>
        </xdr:nvSpPr>
        <xdr:spPr>
          <a:xfrm>
            <a:off x="3903357" y="1313096"/>
            <a:ext cx="5371626" cy="1247056"/>
          </a:xfrm>
          <a:prstGeom prst="roundRect">
            <a:avLst>
              <a:gd name="adj" fmla="val 32796"/>
            </a:avLst>
          </a:prstGeom>
          <a:solidFill>
            <a:srgbClr val="0070C0"/>
          </a:soli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C35D074C-F2CE-82E8-D6E6-9C868D4125B0}"/>
              </a:ext>
            </a:extLst>
          </xdr:cNvPr>
          <xdr:cNvSpPr txBox="1"/>
        </xdr:nvSpPr>
        <xdr:spPr>
          <a:xfrm>
            <a:off x="3479914" y="1805137"/>
            <a:ext cx="6265887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CATÁLOGO DE CUENTAS</a:t>
            </a:r>
          </a:p>
        </xdr:txBody>
      </xdr:sp>
    </xdr:grpSp>
    <xdr:clientData/>
  </xdr:twoCellAnchor>
  <xdr:twoCellAnchor editAs="absolute">
    <xdr:from>
      <xdr:col>0</xdr:col>
      <xdr:colOff>81643</xdr:colOff>
      <xdr:row>8</xdr:row>
      <xdr:rowOff>95251</xdr:rowOff>
    </xdr:from>
    <xdr:to>
      <xdr:col>0</xdr:col>
      <xdr:colOff>1948181</xdr:colOff>
      <xdr:row>37</xdr:row>
      <xdr:rowOff>146251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2218130-676D-4D24-91D4-805F9243D065}"/>
            </a:ext>
          </a:extLst>
        </xdr:cNvPr>
        <xdr:cNvGrpSpPr/>
      </xdr:nvGrpSpPr>
      <xdr:grpSpPr>
        <a:xfrm>
          <a:off x="81643" y="1619251"/>
          <a:ext cx="1866538" cy="5725179"/>
          <a:chOff x="79284" y="1614246"/>
          <a:chExt cx="1866538" cy="5725179"/>
        </a:xfrm>
        <a:solidFill>
          <a:srgbClr val="0070C0"/>
        </a:solidFill>
      </xdr:grpSpPr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89DBDBC1-7FA7-8DFF-88D1-B5F49BBD81DE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  <a:grpFill/>
        </xdr:grpSpPr>
        <xdr:sp macro="[0]!ray" textlink="">
          <xdr:nvSpPr>
            <xdr:cNvPr id="6" name="Rectángulo: esquinas redondeadas 5">
              <a:extLst>
                <a:ext uri="{FF2B5EF4-FFF2-40B4-BE49-F238E27FC236}">
                  <a16:creationId xmlns:a16="http://schemas.microsoft.com/office/drawing/2014/main" id="{5C8F5506-8B00-BDC5-4474-ED7CDB9461D8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7" name="Rectángulo: esquinas redondeadas 6">
              <a:extLst>
                <a:ext uri="{FF2B5EF4-FFF2-40B4-BE49-F238E27FC236}">
                  <a16:creationId xmlns:a16="http://schemas.microsoft.com/office/drawing/2014/main" id="{76BF73B2-7AD6-2A1A-5CAB-29BF1584224B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8" name="Rectángulo: esquinas redondeadas 7">
              <a:extLst>
                <a:ext uri="{FF2B5EF4-FFF2-40B4-BE49-F238E27FC236}">
                  <a16:creationId xmlns:a16="http://schemas.microsoft.com/office/drawing/2014/main" id="{C16C86C1-6C7C-2347-CBC1-1563634DD30A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9" name="Rectángulo: esquinas redondeadas 8">
              <a:extLst>
                <a:ext uri="{FF2B5EF4-FFF2-40B4-BE49-F238E27FC236}">
                  <a16:creationId xmlns:a16="http://schemas.microsoft.com/office/drawing/2014/main" id="{925BA366-FE3B-A3C0-1628-2861DB555EF1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10" name="Rectángulo: esquinas redondeadas 9">
              <a:extLst>
                <a:ext uri="{FF2B5EF4-FFF2-40B4-BE49-F238E27FC236}">
                  <a16:creationId xmlns:a16="http://schemas.microsoft.com/office/drawing/2014/main" id="{29D80EDB-3871-9CD9-0BF8-A90E1B5A0FFB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11" name="Rectángulo: esquinas redondeadas 10">
              <a:extLst>
                <a:ext uri="{FF2B5EF4-FFF2-40B4-BE49-F238E27FC236}">
                  <a16:creationId xmlns:a16="http://schemas.microsoft.com/office/drawing/2014/main" id="{934845D5-FC22-EE1C-E2C7-E0DED9349DC2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12" name="Rectángulo: esquinas redondeadas 11">
              <a:extLst>
                <a:ext uri="{FF2B5EF4-FFF2-40B4-BE49-F238E27FC236}">
                  <a16:creationId xmlns:a16="http://schemas.microsoft.com/office/drawing/2014/main" id="{4452AAC4-638F-3F8E-DF1A-0A6E11C35E89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13" name="Rectángulo: esquinas redondeadas 12">
              <a:extLst>
                <a:ext uri="{FF2B5EF4-FFF2-40B4-BE49-F238E27FC236}">
                  <a16:creationId xmlns:a16="http://schemas.microsoft.com/office/drawing/2014/main" id="{D9BDF6CC-4833-A060-6909-9469B09A6287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rgbClr val="0070C0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tx1"/>
                  </a:solidFill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14" name="Rectángulo: esquinas redondeadas 13">
              <a:extLst>
                <a:ext uri="{FF2B5EF4-FFF2-40B4-BE49-F238E27FC236}">
                  <a16:creationId xmlns:a16="http://schemas.microsoft.com/office/drawing/2014/main" id="{B38FF67B-F533-3DD0-8DD3-E3932359190A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36ECF472-691E-A048-3398-3FB70C44F1B1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3E863EF9-8509-C326-C49E-12FC06BFA0FA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grpFill/>
          <a:ln w="19050">
            <a:solidFill>
              <a:schemeClr val="bg1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176893</xdr:colOff>
      <xdr:row>7</xdr:row>
      <xdr:rowOff>168088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5C3A3E13-2D90-428C-80D7-C26F6EC47921}"/>
            </a:ext>
          </a:extLst>
        </xdr:cNvPr>
        <xdr:cNvGrpSpPr/>
      </xdr:nvGrpSpPr>
      <xdr:grpSpPr>
        <a:xfrm>
          <a:off x="0" y="0"/>
          <a:ext cx="12355286" cy="1501588"/>
          <a:chOff x="0" y="0"/>
          <a:chExt cx="12355286" cy="1501588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A638C3E6-41A5-BA26-04B4-AC40D857DEE8}"/>
              </a:ext>
            </a:extLst>
          </xdr:cNvPr>
          <xdr:cNvGrpSpPr/>
        </xdr:nvGrpSpPr>
        <xdr:grpSpPr>
          <a:xfrm>
            <a:off x="0" y="0"/>
            <a:ext cx="12355286" cy="1501588"/>
            <a:chOff x="0" y="0"/>
            <a:chExt cx="12332472" cy="1501588"/>
          </a:xfrm>
        </xdr:grpSpPr>
        <xdr:sp macro="" textlink="">
          <xdr:nvSpPr>
            <xdr:cNvPr id="20" name="Paralelogramo 19">
              <a:extLst>
                <a:ext uri="{FF2B5EF4-FFF2-40B4-BE49-F238E27FC236}">
                  <a16:creationId xmlns:a16="http://schemas.microsoft.com/office/drawing/2014/main" id="{050A31D0-7404-03AE-8920-36E294B284BC}"/>
                </a:ext>
              </a:extLst>
            </xdr:cNvPr>
            <xdr:cNvSpPr/>
          </xdr:nvSpPr>
          <xdr:spPr>
            <a:xfrm>
              <a:off x="0" y="0"/>
              <a:ext cx="12332472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D2ED13F-9109-8FB4-1490-61CD06C6C8AE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</xdr:grpSp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3E75C8F3-7BDF-DF36-6C6D-0E51A55485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694465" y="68037"/>
            <a:ext cx="4435928" cy="140636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162535</xdr:colOff>
      <xdr:row>12</xdr:row>
      <xdr:rowOff>97022</xdr:rowOff>
    </xdr:from>
    <xdr:to>
      <xdr:col>11</xdr:col>
      <xdr:colOff>192427</xdr:colOff>
      <xdr:row>15</xdr:row>
      <xdr:rowOff>76022</xdr:rowOff>
    </xdr:to>
    <xdr:sp macro="[0]!curs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CEAD683-2322-369E-4AB3-976582C3059F}"/>
            </a:ext>
          </a:extLst>
        </xdr:cNvPr>
        <xdr:cNvSpPr/>
      </xdr:nvSpPr>
      <xdr:spPr>
        <a:xfrm>
          <a:off x="16491106" y="2940915"/>
          <a:ext cx="2520000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chemeClr val="tx1"/>
              </a:solidFill>
              <a:latin typeface="Abadi" panose="020B0604020104020204" pitchFamily="34" charset="0"/>
            </a:rPr>
            <a:t>INSERTAR FILAS</a:t>
          </a:r>
        </a:p>
      </xdr:txBody>
    </xdr:sp>
    <xdr:clientData/>
  </xdr:twoCellAnchor>
  <xdr:twoCellAnchor editAs="absolute">
    <xdr:from>
      <xdr:col>2</xdr:col>
      <xdr:colOff>1999831</xdr:colOff>
      <xdr:row>4</xdr:row>
      <xdr:rowOff>163171</xdr:rowOff>
    </xdr:from>
    <xdr:to>
      <xdr:col>7</xdr:col>
      <xdr:colOff>2616835</xdr:colOff>
      <xdr:row>10</xdr:row>
      <xdr:rowOff>203502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06AD5E19-512B-40F8-E92E-B42B7BDAC3CC}"/>
            </a:ext>
          </a:extLst>
        </xdr:cNvPr>
        <xdr:cNvGrpSpPr/>
      </xdr:nvGrpSpPr>
      <xdr:grpSpPr>
        <a:xfrm>
          <a:off x="4204188" y="1074850"/>
          <a:ext cx="9869861" cy="1237759"/>
          <a:chOff x="4742773" y="1299731"/>
          <a:chExt cx="7671847" cy="1247056"/>
        </a:xfrm>
      </xdr:grpSpPr>
      <xdr:sp macro="" textlink="">
        <xdr:nvSpPr>
          <xdr:cNvPr id="67" name="Rectángulo: esquinas redondeadas 66">
            <a:extLst>
              <a:ext uri="{FF2B5EF4-FFF2-40B4-BE49-F238E27FC236}">
                <a16:creationId xmlns:a16="http://schemas.microsoft.com/office/drawing/2014/main" id="{D7A5FEA7-17C2-6CDC-F3FF-76BAA8249734}"/>
              </a:ext>
            </a:extLst>
          </xdr:cNvPr>
          <xdr:cNvSpPr/>
        </xdr:nvSpPr>
        <xdr:spPr>
          <a:xfrm>
            <a:off x="4742773" y="1299731"/>
            <a:ext cx="7671847" cy="1247056"/>
          </a:xfrm>
          <a:prstGeom prst="roundRect">
            <a:avLst>
              <a:gd name="adj" fmla="val 32796"/>
            </a:avLst>
          </a:prstGeom>
          <a:solidFill>
            <a:srgbClr val="0070C0"/>
          </a:soli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68" name="CuadroTexto 67">
            <a:extLst>
              <a:ext uri="{FF2B5EF4-FFF2-40B4-BE49-F238E27FC236}">
                <a16:creationId xmlns:a16="http://schemas.microsoft.com/office/drawing/2014/main" id="{B3B06B43-4700-0E31-E87F-7A98F48216ED}"/>
              </a:ext>
            </a:extLst>
          </xdr:cNvPr>
          <xdr:cNvSpPr txBox="1"/>
        </xdr:nvSpPr>
        <xdr:spPr>
          <a:xfrm>
            <a:off x="5896578" y="1797744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BALANCE GENERAL INICIAL</a:t>
            </a:r>
          </a:p>
        </xdr:txBody>
      </xdr:sp>
    </xdr:grpSp>
    <xdr:clientData/>
  </xdr:twoCellAnchor>
  <xdr:twoCellAnchor editAs="absolute">
    <xdr:from>
      <xdr:col>7</xdr:col>
      <xdr:colOff>1208873</xdr:colOff>
      <xdr:row>11</xdr:row>
      <xdr:rowOff>83210</xdr:rowOff>
    </xdr:from>
    <xdr:to>
      <xdr:col>8</xdr:col>
      <xdr:colOff>888691</xdr:colOff>
      <xdr:row>11</xdr:row>
      <xdr:rowOff>371210</xdr:rowOff>
    </xdr:to>
    <xdr:sp macro="[0]!CAPITAL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82E715E0-FBC1-48CF-AFF1-E4E195A6350E}"/>
            </a:ext>
          </a:extLst>
        </xdr:cNvPr>
        <xdr:cNvSpPr/>
      </xdr:nvSpPr>
      <xdr:spPr>
        <a:xfrm>
          <a:off x="12666087" y="2464460"/>
          <a:ext cx="2523711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chemeClr val="tx1"/>
              </a:solidFill>
              <a:latin typeface="Abadi" panose="020B0604020104020204" pitchFamily="34" charset="0"/>
            </a:rPr>
            <a:t>CALCULAR CAPITAL</a:t>
          </a:r>
        </a:p>
      </xdr:txBody>
    </xdr:sp>
    <xdr:clientData/>
  </xdr:twoCellAnchor>
  <xdr:twoCellAnchor editAs="absolute">
    <xdr:from>
      <xdr:col>9</xdr:col>
      <xdr:colOff>149679</xdr:colOff>
      <xdr:row>11</xdr:row>
      <xdr:rowOff>54428</xdr:rowOff>
    </xdr:from>
    <xdr:to>
      <xdr:col>11</xdr:col>
      <xdr:colOff>179571</xdr:colOff>
      <xdr:row>11</xdr:row>
      <xdr:rowOff>414428</xdr:rowOff>
    </xdr:to>
    <xdr:sp macro="[0]!EliminarFilasEspecificas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4D4D664C-C001-4350-A963-656996022CC4}"/>
            </a:ext>
          </a:extLst>
        </xdr:cNvPr>
        <xdr:cNvSpPr/>
      </xdr:nvSpPr>
      <xdr:spPr>
        <a:xfrm>
          <a:off x="16478250" y="2435678"/>
          <a:ext cx="2520000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chemeClr val="tx1"/>
              </a:solidFill>
              <a:latin typeface="Abadi" panose="020B0604020104020204" pitchFamily="34" charset="0"/>
            </a:rPr>
            <a:t>ELIMINAR</a:t>
          </a:r>
          <a:r>
            <a:rPr lang="es-ES" sz="1400" b="1" baseline="0">
              <a:solidFill>
                <a:schemeClr val="tx1"/>
              </a:solidFill>
              <a:latin typeface="Abadi" panose="020B0604020104020204" pitchFamily="34" charset="0"/>
            </a:rPr>
            <a:t> FILAS</a:t>
          </a:r>
          <a:endParaRPr lang="es-ES" sz="14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2</xdr:col>
      <xdr:colOff>265186</xdr:colOff>
      <xdr:row>11</xdr:row>
      <xdr:rowOff>95204</xdr:rowOff>
    </xdr:from>
    <xdr:to>
      <xdr:col>3</xdr:col>
      <xdr:colOff>360641</xdr:colOff>
      <xdr:row>11</xdr:row>
      <xdr:rowOff>383204</xdr:rowOff>
    </xdr:to>
    <xdr:sp macro="[0]!borrar_d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F33D270-937E-4AA9-8A35-06CE1FC045E5}"/>
            </a:ext>
          </a:extLst>
        </xdr:cNvPr>
        <xdr:cNvSpPr/>
      </xdr:nvSpPr>
      <xdr:spPr>
        <a:xfrm>
          <a:off x="2451795" y="2447465"/>
          <a:ext cx="2522259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chemeClr val="tx1"/>
              </a:solidFill>
              <a:latin typeface="Abadi" panose="020B0604020104020204" pitchFamily="34" charset="0"/>
            </a:rPr>
            <a:t>BORRAR</a:t>
          </a:r>
          <a:r>
            <a:rPr lang="es-ES" sz="1400" b="1" baseline="0">
              <a:solidFill>
                <a:schemeClr val="tx1"/>
              </a:solidFill>
              <a:latin typeface="Abadi" panose="020B0604020104020204" pitchFamily="34" charset="0"/>
            </a:rPr>
            <a:t> DATOS</a:t>
          </a:r>
          <a:endParaRPr lang="es-ES" sz="14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81642</xdr:colOff>
      <xdr:row>7</xdr:row>
      <xdr:rowOff>108856</xdr:rowOff>
    </xdr:from>
    <xdr:to>
      <xdr:col>0</xdr:col>
      <xdr:colOff>1948180</xdr:colOff>
      <xdr:row>34</xdr:row>
      <xdr:rowOff>173464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BFE020EA-462B-444E-8E21-42A683419BD4}"/>
            </a:ext>
          </a:extLst>
        </xdr:cNvPr>
        <xdr:cNvGrpSpPr/>
      </xdr:nvGrpSpPr>
      <xdr:grpSpPr>
        <a:xfrm>
          <a:off x="81642" y="1619249"/>
          <a:ext cx="1866538" cy="5548286"/>
          <a:chOff x="79284" y="1614246"/>
          <a:chExt cx="1866538" cy="5725179"/>
        </a:xfrm>
        <a:solidFill>
          <a:srgbClr val="0070C0"/>
        </a:solidFill>
      </xdr:grpSpPr>
      <xdr:grpSp>
        <xdr:nvGrpSpPr>
          <xdr:cNvPr id="12" name="Grupo 11">
            <a:extLst>
              <a:ext uri="{FF2B5EF4-FFF2-40B4-BE49-F238E27FC236}">
                <a16:creationId xmlns:a16="http://schemas.microsoft.com/office/drawing/2014/main" id="{42218757-5E38-74B0-A3AA-FBE657F00ECC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  <a:grpFill/>
        </xdr:grpSpPr>
        <xdr:sp macro="[0]!ray" textlink="">
          <xdr:nvSpPr>
            <xdr:cNvPr id="18" name="Rectángulo: esquinas redondeadas 17">
              <a:extLst>
                <a:ext uri="{FF2B5EF4-FFF2-40B4-BE49-F238E27FC236}">
                  <a16:creationId xmlns:a16="http://schemas.microsoft.com/office/drawing/2014/main" id="{D205262A-0497-BD1C-1C37-69663C63AC65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21" name="Rectángulo: esquinas redondeadas 20">
              <a:extLst>
                <a:ext uri="{FF2B5EF4-FFF2-40B4-BE49-F238E27FC236}">
                  <a16:creationId xmlns:a16="http://schemas.microsoft.com/office/drawing/2014/main" id="{CC9AF275-A895-0435-02E0-C115D8B5583E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D9F9D187-446D-2484-229F-AA8FBE4767B1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E1B6FA8C-767D-5236-2974-7514E5B8A681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24" name="Rectángulo: esquinas redondeadas 23">
              <a:extLst>
                <a:ext uri="{FF2B5EF4-FFF2-40B4-BE49-F238E27FC236}">
                  <a16:creationId xmlns:a16="http://schemas.microsoft.com/office/drawing/2014/main" id="{D8E716B1-8459-B1AE-76D1-41FA94B78E20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25" name="Rectángulo: esquinas redondeadas 24">
              <a:extLst>
                <a:ext uri="{FF2B5EF4-FFF2-40B4-BE49-F238E27FC236}">
                  <a16:creationId xmlns:a16="http://schemas.microsoft.com/office/drawing/2014/main" id="{E3BF1CF2-3260-B452-3548-70D72FFCFC09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rgbClr val="0070C0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tx1"/>
                  </a:solidFill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solidFill>
                    <a:schemeClr val="tx1"/>
                  </a:solidFill>
                  <a:latin typeface="Abadi" panose="020B0604020104020204" pitchFamily="34" charset="0"/>
                </a:rPr>
                <a:t> GENERAL INICIAL</a:t>
              </a:r>
              <a:endParaRPr lang="es-MX" sz="1200" b="0">
                <a:solidFill>
                  <a:schemeClr val="tx1"/>
                </a:solidFill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26" name="Rectángulo: esquinas redondeadas 25">
              <a:extLst>
                <a:ext uri="{FF2B5EF4-FFF2-40B4-BE49-F238E27FC236}">
                  <a16:creationId xmlns:a16="http://schemas.microsoft.com/office/drawing/2014/main" id="{50C16C07-3C9D-3EC8-67B8-62D0846F7E67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0344C11E-C39E-322B-F8AC-6EA8F08C3D63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28D6AE3A-8A30-2CC9-1911-6B4987ACF6EB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8C948FAC-DA99-102A-7FED-DC0FAA7E5DFC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16" name="Rectángulo: esquinas redondeadas 15">
            <a:extLst>
              <a:ext uri="{FF2B5EF4-FFF2-40B4-BE49-F238E27FC236}">
                <a16:creationId xmlns:a16="http://schemas.microsoft.com/office/drawing/2014/main" id="{661C4871-4887-5A33-DC29-26EE4EFFDC6F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grpFill/>
          <a:ln w="19050">
            <a:solidFill>
              <a:schemeClr val="bg1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966107</xdr:colOff>
      <xdr:row>6</xdr:row>
      <xdr:rowOff>195302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C9EFE027-91DA-4F47-B127-8379C87CBCB6}"/>
            </a:ext>
          </a:extLst>
        </xdr:cNvPr>
        <xdr:cNvGrpSpPr/>
      </xdr:nvGrpSpPr>
      <xdr:grpSpPr>
        <a:xfrm>
          <a:off x="0" y="0"/>
          <a:ext cx="17294678" cy="1501588"/>
          <a:chOff x="0" y="0"/>
          <a:chExt cx="17294678" cy="1501588"/>
        </a:xfrm>
      </xdr:grpSpPr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8C2056B7-B23C-9A77-4A84-58AD3E35B675}"/>
              </a:ext>
            </a:extLst>
          </xdr:cNvPr>
          <xdr:cNvGrpSpPr/>
        </xdr:nvGrpSpPr>
        <xdr:grpSpPr>
          <a:xfrm>
            <a:off x="0" y="0"/>
            <a:ext cx="17294678" cy="1501588"/>
            <a:chOff x="0" y="0"/>
            <a:chExt cx="17262744" cy="1501588"/>
          </a:xfrm>
        </xdr:grpSpPr>
        <xdr:sp macro="" textlink="">
          <xdr:nvSpPr>
            <xdr:cNvPr id="8" name="Paralelogramo 7">
              <a:extLst>
                <a:ext uri="{FF2B5EF4-FFF2-40B4-BE49-F238E27FC236}">
                  <a16:creationId xmlns:a16="http://schemas.microsoft.com/office/drawing/2014/main" id="{7080F9D9-7644-58BB-D96A-E456872121CE}"/>
                </a:ext>
              </a:extLst>
            </xdr:cNvPr>
            <xdr:cNvSpPr/>
          </xdr:nvSpPr>
          <xdr:spPr>
            <a:xfrm>
              <a:off x="0" y="0"/>
              <a:ext cx="17262744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9" name="Rectángulo 8">
              <a:extLst>
                <a:ext uri="{FF2B5EF4-FFF2-40B4-BE49-F238E27FC236}">
                  <a16:creationId xmlns:a16="http://schemas.microsoft.com/office/drawing/2014/main" id="{E3E704C0-0F7E-9AB8-8D7E-5ED39242A6EA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</xdr:grpSp>
      <xdr:pic>
        <xdr:nvPicPr>
          <xdr:cNvPr id="7" name="Imagen 6">
            <a:extLst>
              <a:ext uri="{FF2B5EF4-FFF2-40B4-BE49-F238E27FC236}">
                <a16:creationId xmlns:a16="http://schemas.microsoft.com/office/drawing/2014/main" id="{512D1043-C31C-3CF9-1E03-2BFDAFA75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735536" y="68037"/>
            <a:ext cx="4435928" cy="140636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16145</xdr:colOff>
      <xdr:row>5</xdr:row>
      <xdr:rowOff>22833</xdr:rowOff>
    </xdr:from>
    <xdr:to>
      <xdr:col>8</xdr:col>
      <xdr:colOff>1571811</xdr:colOff>
      <xdr:row>7</xdr:row>
      <xdr:rowOff>869906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7A22DC51-D49D-40D0-9C53-D7FBE8DF4915}"/>
            </a:ext>
          </a:extLst>
        </xdr:cNvPr>
        <xdr:cNvGrpSpPr/>
      </xdr:nvGrpSpPr>
      <xdr:grpSpPr>
        <a:xfrm>
          <a:off x="5812788" y="975333"/>
          <a:ext cx="9856023" cy="1228073"/>
          <a:chOff x="4742773" y="1299731"/>
          <a:chExt cx="7671847" cy="1247056"/>
        </a:xfrm>
      </xdr:grpSpPr>
      <xdr:sp macro="" textlink="">
        <xdr:nvSpPr>
          <xdr:cNvPr id="24" name="Rectángulo: esquinas redondeadas 23">
            <a:extLst>
              <a:ext uri="{FF2B5EF4-FFF2-40B4-BE49-F238E27FC236}">
                <a16:creationId xmlns:a16="http://schemas.microsoft.com/office/drawing/2014/main" id="{0B3A818B-5452-C097-EB1A-472B69A8E6BD}"/>
              </a:ext>
            </a:extLst>
          </xdr:cNvPr>
          <xdr:cNvSpPr/>
        </xdr:nvSpPr>
        <xdr:spPr>
          <a:xfrm>
            <a:off x="4742773" y="1299731"/>
            <a:ext cx="7671847" cy="1247056"/>
          </a:xfrm>
          <a:prstGeom prst="roundRect">
            <a:avLst>
              <a:gd name="adj" fmla="val 32796"/>
            </a:avLst>
          </a:prstGeom>
          <a:solidFill>
            <a:srgbClr val="0070C0"/>
          </a:soli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25" name="CuadroTexto 24">
            <a:extLst>
              <a:ext uri="{FF2B5EF4-FFF2-40B4-BE49-F238E27FC236}">
                <a16:creationId xmlns:a16="http://schemas.microsoft.com/office/drawing/2014/main" id="{76F8BAC1-25F2-1E34-A19F-F59F72DE453E}"/>
              </a:ext>
            </a:extLst>
          </xdr:cNvPr>
          <xdr:cNvSpPr txBox="1"/>
        </xdr:nvSpPr>
        <xdr:spPr>
          <a:xfrm>
            <a:off x="5896578" y="1853013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RAYADO</a:t>
            </a:r>
            <a:r>
              <a:rPr lang="es-MX" sz="4000" b="1" baseline="0">
                <a:solidFill>
                  <a:schemeClr val="bg1"/>
                </a:solidFill>
                <a:latin typeface="Abadi" panose="020B0604020104020204" pitchFamily="34" charset="0"/>
              </a:rPr>
              <a:t> DIARIO</a:t>
            </a:r>
            <a:endParaRPr lang="es-MX" sz="4000" b="1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7</xdr:col>
      <xdr:colOff>430834</xdr:colOff>
      <xdr:row>8</xdr:row>
      <xdr:rowOff>8556</xdr:rowOff>
    </xdr:from>
    <xdr:to>
      <xdr:col>8</xdr:col>
      <xdr:colOff>439341</xdr:colOff>
      <xdr:row>10</xdr:row>
      <xdr:rowOff>167982</xdr:rowOff>
    </xdr:to>
    <xdr:sp macro="[0]!curso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9526E87-D7C2-4903-A873-1F333F982CE1}"/>
            </a:ext>
          </a:extLst>
        </xdr:cNvPr>
        <xdr:cNvSpPr/>
      </xdr:nvSpPr>
      <xdr:spPr>
        <a:xfrm>
          <a:off x="12377905" y="2430627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chemeClr val="tx1"/>
              </a:solidFill>
              <a:latin typeface="Abadi" panose="020B0604020104020204" pitchFamily="34" charset="0"/>
            </a:rPr>
            <a:t>INSERTAR FILAS</a:t>
          </a:r>
        </a:p>
      </xdr:txBody>
    </xdr:sp>
    <xdr:clientData fLocksWithSheet="0"/>
  </xdr:twoCellAnchor>
  <xdr:twoCellAnchor>
    <xdr:from>
      <xdr:col>8</xdr:col>
      <xdr:colOff>945419</xdr:colOff>
      <xdr:row>8</xdr:row>
      <xdr:rowOff>22866</xdr:rowOff>
    </xdr:from>
    <xdr:to>
      <xdr:col>9</xdr:col>
      <xdr:colOff>627355</xdr:colOff>
      <xdr:row>10</xdr:row>
      <xdr:rowOff>182292</xdr:rowOff>
    </xdr:to>
    <xdr:sp macro="[0]!EliminarFilasEspecific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403E8569-533B-4D25-B9EA-B53ACCD2F971}"/>
            </a:ext>
          </a:extLst>
        </xdr:cNvPr>
        <xdr:cNvSpPr/>
      </xdr:nvSpPr>
      <xdr:spPr>
        <a:xfrm>
          <a:off x="15042419" y="2444937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chemeClr val="tx1"/>
              </a:solidFill>
              <a:latin typeface="Abadi" panose="020B0604020104020204" pitchFamily="34" charset="0"/>
            </a:rPr>
            <a:t>ELIMINAR</a:t>
          </a:r>
          <a:r>
            <a:rPr lang="es-ES" sz="1400" b="1" baseline="0">
              <a:solidFill>
                <a:schemeClr val="tx1"/>
              </a:solidFill>
              <a:latin typeface="Abadi" panose="020B0604020104020204" pitchFamily="34" charset="0"/>
            </a:rPr>
            <a:t> FILAS</a:t>
          </a:r>
          <a:endParaRPr lang="es-ES" sz="14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>
    <xdr:from>
      <xdr:col>4</xdr:col>
      <xdr:colOff>1229018</xdr:colOff>
      <xdr:row>8</xdr:row>
      <xdr:rowOff>1414</xdr:rowOff>
    </xdr:from>
    <xdr:to>
      <xdr:col>5</xdr:col>
      <xdr:colOff>1985918</xdr:colOff>
      <xdr:row>10</xdr:row>
      <xdr:rowOff>160840</xdr:rowOff>
    </xdr:to>
    <xdr:sp macro="[0]!FiltrarYCopiarTipoCuenta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386EE1D9-D0AA-4505-B489-F08EFDB503AA}"/>
            </a:ext>
          </a:extLst>
        </xdr:cNvPr>
        <xdr:cNvSpPr/>
      </xdr:nvSpPr>
      <xdr:spPr>
        <a:xfrm>
          <a:off x="7025661" y="2423485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chemeClr val="tx1"/>
              </a:solidFill>
              <a:latin typeface="Abadi" panose="020B0604020104020204" pitchFamily="34" charset="0"/>
            </a:rPr>
            <a:t>TRAER DATOS DE</a:t>
          </a:r>
          <a:r>
            <a:rPr lang="es-ES" sz="1400" b="1" baseline="0">
              <a:solidFill>
                <a:schemeClr val="tx1"/>
              </a:solidFill>
              <a:latin typeface="Abadi" panose="020B0604020104020204" pitchFamily="34" charset="0"/>
            </a:rPr>
            <a:t> BALANCE GENERAL</a:t>
          </a:r>
          <a:endParaRPr lang="es-ES" sz="14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>
    <xdr:from>
      <xdr:col>3</xdr:col>
      <xdr:colOff>410038</xdr:colOff>
      <xdr:row>7</xdr:row>
      <xdr:rowOff>1067355</xdr:rowOff>
    </xdr:from>
    <xdr:to>
      <xdr:col>4</xdr:col>
      <xdr:colOff>826760</xdr:colOff>
      <xdr:row>10</xdr:row>
      <xdr:rowOff>138210</xdr:rowOff>
    </xdr:to>
    <xdr:sp macro="[0]!Formul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4AFFD77-AB36-4876-83D3-F8ED2A81B91C}"/>
            </a:ext>
          </a:extLst>
        </xdr:cNvPr>
        <xdr:cNvSpPr/>
      </xdr:nvSpPr>
      <xdr:spPr>
        <a:xfrm>
          <a:off x="4464967" y="2400855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chemeClr val="tx1"/>
              </a:solidFill>
              <a:latin typeface="Abadi" panose="020B0604020104020204" pitchFamily="34" charset="0"/>
            </a:rPr>
            <a:t>ELIMINAR DATOS</a:t>
          </a:r>
        </a:p>
      </xdr:txBody>
    </xdr:sp>
    <xdr:clientData fLocksWithSheet="0"/>
  </xdr:twoCellAnchor>
  <xdr:twoCellAnchor>
    <xdr:from>
      <xdr:col>5</xdr:col>
      <xdr:colOff>2521866</xdr:colOff>
      <xdr:row>8</xdr:row>
      <xdr:rowOff>9249</xdr:rowOff>
    </xdr:from>
    <xdr:to>
      <xdr:col>6</xdr:col>
      <xdr:colOff>1863624</xdr:colOff>
      <xdr:row>10</xdr:row>
      <xdr:rowOff>168675</xdr:rowOff>
    </xdr:to>
    <xdr:sp macro="[0]!SumarColumnasHI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83C9EA8-6553-473F-9538-407A5991BE7B}"/>
            </a:ext>
          </a:extLst>
        </xdr:cNvPr>
        <xdr:cNvSpPr/>
      </xdr:nvSpPr>
      <xdr:spPr>
        <a:xfrm>
          <a:off x="9720045" y="2431320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chemeClr val="tx1"/>
              </a:solidFill>
              <a:latin typeface="Abadi" panose="020B0604020104020204" pitchFamily="34" charset="0"/>
            </a:rPr>
            <a:t>SUMAR</a:t>
          </a:r>
          <a:r>
            <a:rPr lang="es-ES" sz="1400" b="1" baseline="0">
              <a:solidFill>
                <a:schemeClr val="tx1"/>
              </a:solidFill>
              <a:latin typeface="Abadi" panose="020B0604020104020204" pitchFamily="34" charset="0"/>
            </a:rPr>
            <a:t> DEBE Y HABER</a:t>
          </a:r>
          <a:endParaRPr lang="es-ES" sz="14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 editAs="absolute">
    <xdr:from>
      <xdr:col>0</xdr:col>
      <xdr:colOff>81642</xdr:colOff>
      <xdr:row>7</xdr:row>
      <xdr:rowOff>285747</xdr:rowOff>
    </xdr:from>
    <xdr:to>
      <xdr:col>0</xdr:col>
      <xdr:colOff>1948180</xdr:colOff>
      <xdr:row>30</xdr:row>
      <xdr:rowOff>173462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B42F03E-97F2-4DFC-BD10-0DA980E2D4C8}"/>
            </a:ext>
          </a:extLst>
        </xdr:cNvPr>
        <xdr:cNvGrpSpPr/>
      </xdr:nvGrpSpPr>
      <xdr:grpSpPr>
        <a:xfrm>
          <a:off x="81642" y="1619247"/>
          <a:ext cx="1866538" cy="5725179"/>
          <a:chOff x="79284" y="1614246"/>
          <a:chExt cx="1866538" cy="5725179"/>
        </a:xfrm>
        <a:solidFill>
          <a:srgbClr val="0070C0"/>
        </a:solidFill>
      </xdr:grpSpPr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C13DB0E4-30C8-1798-E1CF-15355385480C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  <a:grpFill/>
        </xdr:grpSpPr>
        <xdr:sp macro="[0]!ray" textlink="">
          <xdr:nvSpPr>
            <xdr:cNvPr id="14" name="Rectángulo: esquinas redondeadas 13">
              <a:extLst>
                <a:ext uri="{FF2B5EF4-FFF2-40B4-BE49-F238E27FC236}">
                  <a16:creationId xmlns:a16="http://schemas.microsoft.com/office/drawing/2014/main" id="{328A62D8-4923-BB02-E735-D4F19BD7E525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rgbClr val="0070C0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solidFill>
                    <a:schemeClr val="tx1"/>
                  </a:solidFill>
                  <a:latin typeface="Abadi" panose="020B0604020104020204" pitchFamily="34" charset="0"/>
                </a:rPr>
                <a:t>RAYADO DIARIO</a:t>
              </a:r>
              <a:endParaRPr lang="es-MX" sz="1200" b="0">
                <a:solidFill>
                  <a:schemeClr val="tx1"/>
                </a:solidFill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15" name="Rectángulo: esquinas redondeadas 14">
              <a:extLst>
                <a:ext uri="{FF2B5EF4-FFF2-40B4-BE49-F238E27FC236}">
                  <a16:creationId xmlns:a16="http://schemas.microsoft.com/office/drawing/2014/main" id="{78C4B9F8-BA29-D944-51EC-A8E596EAEB18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16" name="Rectángulo: esquinas redondeadas 15">
              <a:extLst>
                <a:ext uri="{FF2B5EF4-FFF2-40B4-BE49-F238E27FC236}">
                  <a16:creationId xmlns:a16="http://schemas.microsoft.com/office/drawing/2014/main" id="{17C614B5-7B73-175D-B703-A3EB2696598D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17" name="Rectángulo: esquinas redondeadas 16">
              <a:extLst>
                <a:ext uri="{FF2B5EF4-FFF2-40B4-BE49-F238E27FC236}">
                  <a16:creationId xmlns:a16="http://schemas.microsoft.com/office/drawing/2014/main" id="{B1971C70-40AD-E585-FEFB-C5F3D8F3C301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18" name="Rectángulo: esquinas redondeadas 17">
              <a:extLst>
                <a:ext uri="{FF2B5EF4-FFF2-40B4-BE49-F238E27FC236}">
                  <a16:creationId xmlns:a16="http://schemas.microsoft.com/office/drawing/2014/main" id="{5A72A192-F2FD-2FD2-7D5B-1AB00EE69F6E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19" name="Rectángulo: esquinas redondeadas 18">
              <a:extLst>
                <a:ext uri="{FF2B5EF4-FFF2-40B4-BE49-F238E27FC236}">
                  <a16:creationId xmlns:a16="http://schemas.microsoft.com/office/drawing/2014/main" id="{1A066E74-F821-C390-1C8E-84FCEDF0E853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20" name="Rectángulo: esquinas redondeadas 19">
              <a:extLst>
                <a:ext uri="{FF2B5EF4-FFF2-40B4-BE49-F238E27FC236}">
                  <a16:creationId xmlns:a16="http://schemas.microsoft.com/office/drawing/2014/main" id="{076E1B08-2D79-A864-3539-C49567A6740C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1" name="Rectángulo: esquinas redondeadas 20">
              <a:extLst>
                <a:ext uri="{FF2B5EF4-FFF2-40B4-BE49-F238E27FC236}">
                  <a16:creationId xmlns:a16="http://schemas.microsoft.com/office/drawing/2014/main" id="{487342C7-90A1-9325-0ED7-84C9FCE8EA74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7E46A54A-01C2-151E-C4F5-4512BF25B8A6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6" name="Rectángulo: esquinas redondeadas 25">
              <a:extLst>
                <a:ext uri="{FF2B5EF4-FFF2-40B4-BE49-F238E27FC236}">
                  <a16:creationId xmlns:a16="http://schemas.microsoft.com/office/drawing/2014/main" id="{60421C11-1B85-8FCE-83CF-957B8A08D752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C8749BC4-4684-5F85-236B-8DB10F8E2AE7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grpFill/>
          <a:ln w="19050">
            <a:solidFill>
              <a:schemeClr val="bg1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1020536</xdr:colOff>
      <xdr:row>7</xdr:row>
      <xdr:rowOff>168088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35167B0-A71F-4E16-A6E9-833CA7AEBA6E}"/>
            </a:ext>
          </a:extLst>
        </xdr:cNvPr>
        <xdr:cNvGrpSpPr/>
      </xdr:nvGrpSpPr>
      <xdr:grpSpPr>
        <a:xfrm>
          <a:off x="0" y="0"/>
          <a:ext cx="23023286" cy="1501588"/>
          <a:chOff x="0" y="0"/>
          <a:chExt cx="23023286" cy="1501588"/>
        </a:xfrm>
      </xdr:grpSpPr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9D5C45A7-A27E-B8D0-4395-F13767A9908A}"/>
              </a:ext>
            </a:extLst>
          </xdr:cNvPr>
          <xdr:cNvGrpSpPr/>
        </xdr:nvGrpSpPr>
        <xdr:grpSpPr>
          <a:xfrm>
            <a:off x="0" y="0"/>
            <a:ext cx="23023286" cy="1501588"/>
            <a:chOff x="0" y="0"/>
            <a:chExt cx="22980775" cy="1501588"/>
          </a:xfrm>
        </xdr:grpSpPr>
        <xdr:sp macro="" textlink="">
          <xdr:nvSpPr>
            <xdr:cNvPr id="30" name="Paralelogramo 29">
              <a:extLst>
                <a:ext uri="{FF2B5EF4-FFF2-40B4-BE49-F238E27FC236}">
                  <a16:creationId xmlns:a16="http://schemas.microsoft.com/office/drawing/2014/main" id="{DF7D8997-02FF-D4D1-5613-64FDFC2720C3}"/>
                </a:ext>
              </a:extLst>
            </xdr:cNvPr>
            <xdr:cNvSpPr/>
          </xdr:nvSpPr>
          <xdr:spPr>
            <a:xfrm>
              <a:off x="0" y="0"/>
              <a:ext cx="22980775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31" name="Rectángulo 30">
              <a:extLst>
                <a:ext uri="{FF2B5EF4-FFF2-40B4-BE49-F238E27FC236}">
                  <a16:creationId xmlns:a16="http://schemas.microsoft.com/office/drawing/2014/main" id="{02706021-B75B-E6D5-2743-B834BE1971ED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</xdr:grpSp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EFBA370D-2C30-7CAB-E577-8FED67007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368390" y="68037"/>
            <a:ext cx="4435928" cy="1406366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25066</xdr:colOff>
      <xdr:row>12</xdr:row>
      <xdr:rowOff>109105</xdr:rowOff>
    </xdr:from>
    <xdr:to>
      <xdr:col>8</xdr:col>
      <xdr:colOff>726908</xdr:colOff>
      <xdr:row>14</xdr:row>
      <xdr:rowOff>21118</xdr:rowOff>
    </xdr:to>
    <xdr:sp macro="[0]!CrearTablaDinamica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5F9DBC70-9DE9-4306-8C0C-906B46D10541}"/>
            </a:ext>
          </a:extLst>
        </xdr:cNvPr>
        <xdr:cNvSpPr/>
      </xdr:nvSpPr>
      <xdr:spPr>
        <a:xfrm>
          <a:off x="2832434" y="2365026"/>
          <a:ext cx="7732796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200" b="1">
              <a:solidFill>
                <a:schemeClr val="tx1"/>
              </a:solidFill>
              <a:latin typeface="Abadi" panose="020B0604020104020204" pitchFamily="34" charset="0"/>
            </a:rPr>
            <a:t>ACTUALIZAR ESQUEMA</a:t>
          </a:r>
          <a:r>
            <a:rPr lang="es-ES" sz="1200" b="1" baseline="0">
              <a:solidFill>
                <a:schemeClr val="tx1"/>
              </a:solidFill>
              <a:latin typeface="Abadi" panose="020B0604020104020204" pitchFamily="34" charset="0"/>
            </a:rPr>
            <a:t> DE MAYOR</a:t>
          </a:r>
          <a:endParaRPr lang="es-ES" sz="12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>
    <xdr:from>
      <xdr:col>2</xdr:col>
      <xdr:colOff>309814</xdr:colOff>
      <xdr:row>6</xdr:row>
      <xdr:rowOff>149744</xdr:rowOff>
    </xdr:from>
    <xdr:to>
      <xdr:col>8</xdr:col>
      <xdr:colOff>394608</xdr:colOff>
      <xdr:row>11</xdr:row>
      <xdr:rowOff>148090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0D339D08-46DC-F705-EF26-9E34D6B72A1B}"/>
            </a:ext>
          </a:extLst>
        </xdr:cNvPr>
        <xdr:cNvGrpSpPr/>
      </xdr:nvGrpSpPr>
      <xdr:grpSpPr>
        <a:xfrm>
          <a:off x="3126493" y="1292744"/>
          <a:ext cx="7106079" cy="950846"/>
          <a:chOff x="3738814" y="1292744"/>
          <a:chExt cx="6267325" cy="950846"/>
        </a:xfrm>
      </xdr:grpSpPr>
      <xdr:sp macro="" textlink="">
        <xdr:nvSpPr>
          <xdr:cNvPr id="37" name="Rectángulo: esquinas redondeadas 36">
            <a:extLst>
              <a:ext uri="{FF2B5EF4-FFF2-40B4-BE49-F238E27FC236}">
                <a16:creationId xmlns:a16="http://schemas.microsoft.com/office/drawing/2014/main" id="{3D56843F-E27D-2F7E-3BC4-6402D5585EDC}"/>
              </a:ext>
            </a:extLst>
          </xdr:cNvPr>
          <xdr:cNvSpPr/>
        </xdr:nvSpPr>
        <xdr:spPr>
          <a:xfrm>
            <a:off x="3738814" y="1292744"/>
            <a:ext cx="6267325" cy="920638"/>
          </a:xfrm>
          <a:prstGeom prst="roundRect">
            <a:avLst>
              <a:gd name="adj" fmla="val 32796"/>
            </a:avLst>
          </a:prstGeom>
          <a:solidFill>
            <a:srgbClr val="0070C0"/>
          </a:soli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8" name="CuadroTexto 37">
            <a:extLst>
              <a:ext uri="{FF2B5EF4-FFF2-40B4-BE49-F238E27FC236}">
                <a16:creationId xmlns:a16="http://schemas.microsoft.com/office/drawing/2014/main" id="{296A2F54-F08B-72D9-CA88-0299310336F2}"/>
              </a:ext>
            </a:extLst>
          </xdr:cNvPr>
          <xdr:cNvSpPr txBox="1"/>
        </xdr:nvSpPr>
        <xdr:spPr>
          <a:xfrm>
            <a:off x="4232136" y="1547446"/>
            <a:ext cx="5265650" cy="696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ESQUEMA</a:t>
            </a:r>
            <a:r>
              <a:rPr lang="es-MX" sz="4000" b="1" baseline="0">
                <a:solidFill>
                  <a:schemeClr val="bg1"/>
                </a:solidFill>
                <a:latin typeface="Abadi" panose="020B0604020104020204" pitchFamily="34" charset="0"/>
              </a:rPr>
              <a:t> DE MAYOR</a:t>
            </a:r>
            <a:endParaRPr lang="es-MX" sz="4000" b="1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1066155</xdr:colOff>
      <xdr:row>7</xdr:row>
      <xdr:rowOff>163285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A3826762-107C-FBCD-BBF0-7E4AD7667D3F}"/>
            </a:ext>
          </a:extLst>
        </xdr:cNvPr>
        <xdr:cNvSpPr/>
      </xdr:nvSpPr>
      <xdr:spPr>
        <a:xfrm>
          <a:off x="0" y="0"/>
          <a:ext cx="1066155" cy="1496785"/>
        </a:xfrm>
        <a:prstGeom prst="rect">
          <a:avLst/>
        </a:prstGeom>
        <a:solidFill>
          <a:schemeClr val="bg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 editAs="absolute">
    <xdr:from>
      <xdr:col>0</xdr:col>
      <xdr:colOff>81642</xdr:colOff>
      <xdr:row>8</xdr:row>
      <xdr:rowOff>95249</xdr:rowOff>
    </xdr:from>
    <xdr:to>
      <xdr:col>0</xdr:col>
      <xdr:colOff>1948180</xdr:colOff>
      <xdr:row>37</xdr:row>
      <xdr:rowOff>105428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600DB27-262F-4F14-AF42-D7C5A5AA6E53}"/>
            </a:ext>
          </a:extLst>
        </xdr:cNvPr>
        <xdr:cNvGrpSpPr/>
      </xdr:nvGrpSpPr>
      <xdr:grpSpPr>
        <a:xfrm>
          <a:off x="81642" y="1619249"/>
          <a:ext cx="1866538" cy="5766000"/>
          <a:chOff x="79284" y="1614246"/>
          <a:chExt cx="1866538" cy="5725179"/>
        </a:xfrm>
        <a:solidFill>
          <a:srgbClr val="0070C0"/>
        </a:solidFill>
      </xdr:grpSpPr>
      <xdr:grpSp>
        <xdr:nvGrpSpPr>
          <xdr:cNvPr id="13" name="Grupo 12">
            <a:extLst>
              <a:ext uri="{FF2B5EF4-FFF2-40B4-BE49-F238E27FC236}">
                <a16:creationId xmlns:a16="http://schemas.microsoft.com/office/drawing/2014/main" id="{FC532C13-6903-5294-028F-5F51D6C093A4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  <a:grpFill/>
        </xdr:grpSpPr>
        <xdr:sp macro="[0]!ray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DBA1500E-0957-DC91-7E6B-8F7B41330A48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0D199C21-9035-E0A7-C700-820C5ADAA26E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rgbClr val="0070C0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tx1"/>
                  </a:solidFill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solidFill>
                    <a:schemeClr val="tx1"/>
                  </a:solidFill>
                  <a:latin typeface="Abadi" panose="020B0604020104020204" pitchFamily="34" charset="0"/>
                </a:rPr>
                <a:t> MAYOR</a:t>
              </a:r>
              <a:endParaRPr lang="es-MX" sz="1200" b="0">
                <a:solidFill>
                  <a:schemeClr val="tx1"/>
                </a:solidFill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B1523CF2-03D3-8877-3639-DBBE731D1DFF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F9F08565-08E5-321A-4748-C6D8BEB5E9AC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30" name="Rectángulo: esquinas redondeadas 29">
              <a:extLst>
                <a:ext uri="{FF2B5EF4-FFF2-40B4-BE49-F238E27FC236}">
                  <a16:creationId xmlns:a16="http://schemas.microsoft.com/office/drawing/2014/main" id="{98FDF5BA-46A2-DA5C-AC5F-EEA1F6C48E0A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31" name="Rectángulo: esquinas redondeadas 30">
              <a:extLst>
                <a:ext uri="{FF2B5EF4-FFF2-40B4-BE49-F238E27FC236}">
                  <a16:creationId xmlns:a16="http://schemas.microsoft.com/office/drawing/2014/main" id="{D7AAD1A4-1366-ABBF-0DC8-45158240527C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32" name="Rectángulo: esquinas redondeadas 31">
              <a:extLst>
                <a:ext uri="{FF2B5EF4-FFF2-40B4-BE49-F238E27FC236}">
                  <a16:creationId xmlns:a16="http://schemas.microsoft.com/office/drawing/2014/main" id="{3F25C783-A3C3-97D5-811E-C33A427828A9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33" name="Rectángulo: esquinas redondeadas 32">
              <a:extLst>
                <a:ext uri="{FF2B5EF4-FFF2-40B4-BE49-F238E27FC236}">
                  <a16:creationId xmlns:a16="http://schemas.microsoft.com/office/drawing/2014/main" id="{95912EDC-6203-19FD-94E7-5F666ECCE30C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34" name="Rectángulo: esquinas redondeadas 33">
              <a:extLst>
                <a:ext uri="{FF2B5EF4-FFF2-40B4-BE49-F238E27FC236}">
                  <a16:creationId xmlns:a16="http://schemas.microsoft.com/office/drawing/2014/main" id="{45ED8418-4DA9-5054-C272-CBF26C2E25EF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35" name="Rectángulo: esquinas redondeadas 34">
              <a:extLst>
                <a:ext uri="{FF2B5EF4-FFF2-40B4-BE49-F238E27FC236}">
                  <a16:creationId xmlns:a16="http://schemas.microsoft.com/office/drawing/2014/main" id="{DB80E8D1-2C21-9649-49E8-8ACF2D72FF5E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2C9C9ADD-C684-0B6C-DB1C-E8757A3677E3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grpFill/>
          <a:ln w="19050">
            <a:solidFill>
              <a:schemeClr val="bg1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95250</xdr:colOff>
      <xdr:row>7</xdr:row>
      <xdr:rowOff>168088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E897837-0B30-4B7D-AF89-11240777D546}"/>
            </a:ext>
          </a:extLst>
        </xdr:cNvPr>
        <xdr:cNvGrpSpPr/>
      </xdr:nvGrpSpPr>
      <xdr:grpSpPr>
        <a:xfrm>
          <a:off x="0" y="0"/>
          <a:ext cx="11457214" cy="1501588"/>
          <a:chOff x="0" y="0"/>
          <a:chExt cx="11457214" cy="1501588"/>
        </a:xfrm>
      </xdr:grpSpPr>
      <xdr:grpSp>
        <xdr:nvGrpSpPr>
          <xdr:cNvPr id="3" name="Grupo 2">
            <a:extLst>
              <a:ext uri="{FF2B5EF4-FFF2-40B4-BE49-F238E27FC236}">
                <a16:creationId xmlns:a16="http://schemas.microsoft.com/office/drawing/2014/main" id="{CBECDC82-9FF3-9C30-6373-C3DFE8FFC18F}"/>
              </a:ext>
            </a:extLst>
          </xdr:cNvPr>
          <xdr:cNvGrpSpPr/>
        </xdr:nvGrpSpPr>
        <xdr:grpSpPr>
          <a:xfrm>
            <a:off x="0" y="0"/>
            <a:ext cx="11457214" cy="1501588"/>
            <a:chOff x="0" y="0"/>
            <a:chExt cx="11436058" cy="1501588"/>
          </a:xfrm>
        </xdr:grpSpPr>
        <xdr:sp macro="" textlink="">
          <xdr:nvSpPr>
            <xdr:cNvPr id="5" name="Paralelogramo 4">
              <a:extLst>
                <a:ext uri="{FF2B5EF4-FFF2-40B4-BE49-F238E27FC236}">
                  <a16:creationId xmlns:a16="http://schemas.microsoft.com/office/drawing/2014/main" id="{E957729F-999D-E0EF-D24E-C5A79D479DE6}"/>
                </a:ext>
              </a:extLst>
            </xdr:cNvPr>
            <xdr:cNvSpPr/>
          </xdr:nvSpPr>
          <xdr:spPr>
            <a:xfrm>
              <a:off x="0" y="0"/>
              <a:ext cx="11436058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6" name="Rectángulo 5">
              <a:extLst>
                <a:ext uri="{FF2B5EF4-FFF2-40B4-BE49-F238E27FC236}">
                  <a16:creationId xmlns:a16="http://schemas.microsoft.com/office/drawing/2014/main" id="{9601960F-F64B-BC9A-328D-8239DC7237E2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</xdr:grpSp>
      <xdr:pic>
        <xdr:nvPicPr>
          <xdr:cNvPr id="4" name="Imagen 3">
            <a:extLst>
              <a:ext uri="{FF2B5EF4-FFF2-40B4-BE49-F238E27FC236}">
                <a16:creationId xmlns:a16="http://schemas.microsoft.com/office/drawing/2014/main" id="{1F2B3788-1D5B-9CE0-D45A-0DF55CE2E8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476752" y="68037"/>
            <a:ext cx="4435928" cy="1406366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433220</xdr:colOff>
      <xdr:row>6</xdr:row>
      <xdr:rowOff>176341</xdr:rowOff>
    </xdr:from>
    <xdr:to>
      <xdr:col>9</xdr:col>
      <xdr:colOff>762000</xdr:colOff>
      <xdr:row>11</xdr:row>
      <xdr:rowOff>27613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DFC8E5F4-20FF-5728-ED33-89FAEA360099}"/>
            </a:ext>
          </a:extLst>
        </xdr:cNvPr>
        <xdr:cNvGrpSpPr/>
      </xdr:nvGrpSpPr>
      <xdr:grpSpPr>
        <a:xfrm>
          <a:off x="6542827" y="1319341"/>
          <a:ext cx="10779066" cy="803772"/>
          <a:chOff x="6468848" y="1586215"/>
          <a:chExt cx="6078102" cy="986307"/>
        </a:xfrm>
      </xdr:grpSpPr>
      <xdr:sp macro="" textlink="">
        <xdr:nvSpPr>
          <xdr:cNvPr id="35" name="Rectángulo: esquinas redondeadas 34">
            <a:extLst>
              <a:ext uri="{FF2B5EF4-FFF2-40B4-BE49-F238E27FC236}">
                <a16:creationId xmlns:a16="http://schemas.microsoft.com/office/drawing/2014/main" id="{033A8BA9-B966-77B0-F6E6-382730C86C37}"/>
              </a:ext>
            </a:extLst>
          </xdr:cNvPr>
          <xdr:cNvSpPr/>
        </xdr:nvSpPr>
        <xdr:spPr>
          <a:xfrm>
            <a:off x="6468848" y="1586215"/>
            <a:ext cx="6078102" cy="986307"/>
          </a:xfrm>
          <a:prstGeom prst="roundRect">
            <a:avLst>
              <a:gd name="adj" fmla="val 32796"/>
            </a:avLst>
          </a:prstGeom>
          <a:solidFill>
            <a:srgbClr val="0070C0"/>
          </a:soli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6" name="CuadroTexto 35">
            <a:extLst>
              <a:ext uri="{FF2B5EF4-FFF2-40B4-BE49-F238E27FC236}">
                <a16:creationId xmlns:a16="http://schemas.microsoft.com/office/drawing/2014/main" id="{90881FBE-E519-7D9B-D82C-85C8C522A9DE}"/>
              </a:ext>
            </a:extLst>
          </xdr:cNvPr>
          <xdr:cNvSpPr txBox="1"/>
        </xdr:nvSpPr>
        <xdr:spPr>
          <a:xfrm>
            <a:off x="6696486" y="1797744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BALANZA</a:t>
            </a:r>
            <a:r>
              <a:rPr lang="es-MX" sz="4000" b="1" baseline="0">
                <a:solidFill>
                  <a:schemeClr val="bg1"/>
                </a:solidFill>
                <a:latin typeface="Abadi" panose="020B0604020104020204" pitchFamily="34" charset="0"/>
              </a:rPr>
              <a:t> DE COMPROBACIÓN</a:t>
            </a:r>
            <a:endParaRPr lang="es-MX" sz="4000" b="1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 editAs="absolute">
    <xdr:from>
      <xdr:col>7</xdr:col>
      <xdr:colOff>1487515</xdr:colOff>
      <xdr:row>11</xdr:row>
      <xdr:rowOff>151272</xdr:rowOff>
    </xdr:from>
    <xdr:to>
      <xdr:col>8</xdr:col>
      <xdr:colOff>1898408</xdr:colOff>
      <xdr:row>13</xdr:row>
      <xdr:rowOff>58272</xdr:rowOff>
    </xdr:to>
    <xdr:sp macro="[0]!BAL_2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D325CB8C-73FA-4BDD-ACBC-83DE3D4B7C63}"/>
            </a:ext>
          </a:extLst>
        </xdr:cNvPr>
        <xdr:cNvSpPr/>
      </xdr:nvSpPr>
      <xdr:spPr>
        <a:xfrm>
          <a:off x="13924444" y="2246772"/>
          <a:ext cx="2520000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chemeClr val="tx1"/>
              </a:solidFill>
              <a:latin typeface="Abadi" panose="020B0604020104020204" pitchFamily="34" charset="0"/>
            </a:rPr>
            <a:t>GENERAR</a:t>
          </a:r>
          <a:r>
            <a:rPr lang="es-ES" sz="1100" b="1" baseline="0">
              <a:solidFill>
                <a:schemeClr val="tx1"/>
              </a:solidFill>
              <a:latin typeface="Abadi" panose="020B0604020104020204" pitchFamily="34" charset="0"/>
            </a:rPr>
            <a:t> BALANZA</a:t>
          </a:r>
          <a:endParaRPr lang="es-ES" sz="11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4</xdr:col>
      <xdr:colOff>1376181</xdr:colOff>
      <xdr:row>11</xdr:row>
      <xdr:rowOff>161582</xdr:rowOff>
    </xdr:from>
    <xdr:to>
      <xdr:col>5</xdr:col>
      <xdr:colOff>1365252</xdr:colOff>
      <xdr:row>13</xdr:row>
      <xdr:rowOff>68582</xdr:rowOff>
    </xdr:to>
    <xdr:sp macro="[0]!Macro3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CE4EA42-2048-4EA7-A261-C6ED43B57660}"/>
            </a:ext>
          </a:extLst>
        </xdr:cNvPr>
        <xdr:cNvSpPr/>
      </xdr:nvSpPr>
      <xdr:spPr>
        <a:xfrm>
          <a:off x="7485788" y="2257082"/>
          <a:ext cx="2520000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chemeClr val="tx1"/>
              </a:solidFill>
              <a:latin typeface="Abadi" panose="020B0604020104020204" pitchFamily="34" charset="0"/>
            </a:rPr>
            <a:t>ELIMINAR</a:t>
          </a:r>
          <a:r>
            <a:rPr lang="es-ES" sz="1100" b="1" baseline="0">
              <a:solidFill>
                <a:schemeClr val="tx1"/>
              </a:solidFill>
              <a:latin typeface="Abadi" panose="020B0604020104020204" pitchFamily="34" charset="0"/>
            </a:rPr>
            <a:t> DATOS</a:t>
          </a:r>
          <a:endParaRPr lang="es-ES" sz="11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6</xdr:col>
      <xdr:colOff>40822</xdr:colOff>
      <xdr:row>11</xdr:row>
      <xdr:rowOff>163285</xdr:rowOff>
    </xdr:from>
    <xdr:to>
      <xdr:col>7</xdr:col>
      <xdr:colOff>751072</xdr:colOff>
      <xdr:row>13</xdr:row>
      <xdr:rowOff>70285</xdr:rowOff>
    </xdr:to>
    <xdr:sp macro="[0]!CrearTablaDinamica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5F60607-9E1F-4B57-B6C8-426104AC1A56}"/>
            </a:ext>
          </a:extLst>
        </xdr:cNvPr>
        <xdr:cNvSpPr/>
      </xdr:nvSpPr>
      <xdr:spPr>
        <a:xfrm>
          <a:off x="10668001" y="2258785"/>
          <a:ext cx="2520000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chemeClr val="tx1"/>
              </a:solidFill>
              <a:latin typeface="Abadi" panose="020B0604020104020204" pitchFamily="34" charset="0"/>
            </a:rPr>
            <a:t>ACTUALIZAR BALANZA</a:t>
          </a:r>
        </a:p>
      </xdr:txBody>
    </xdr:sp>
    <xdr:clientData/>
  </xdr:twoCellAnchor>
  <xdr:twoCellAnchor editAs="absolute">
    <xdr:from>
      <xdr:col>0</xdr:col>
      <xdr:colOff>81642</xdr:colOff>
      <xdr:row>8</xdr:row>
      <xdr:rowOff>95251</xdr:rowOff>
    </xdr:from>
    <xdr:to>
      <xdr:col>0</xdr:col>
      <xdr:colOff>1948180</xdr:colOff>
      <xdr:row>39</xdr:row>
      <xdr:rowOff>64609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79E1F776-52D7-434C-992D-535F7075CA29}"/>
            </a:ext>
          </a:extLst>
        </xdr:cNvPr>
        <xdr:cNvGrpSpPr/>
      </xdr:nvGrpSpPr>
      <xdr:grpSpPr>
        <a:xfrm>
          <a:off x="81642" y="1619251"/>
          <a:ext cx="1866538" cy="6514394"/>
          <a:chOff x="79284" y="1614246"/>
          <a:chExt cx="1866538" cy="5725179"/>
        </a:xfrm>
        <a:solidFill>
          <a:srgbClr val="0070C0"/>
        </a:solidFill>
      </xdr:grpSpPr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82137F29-F408-2FBE-E9E6-75604E6B9D95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  <a:grpFill/>
        </xdr:grpSpPr>
        <xdr:sp macro="[0]!ray" textlink="">
          <xdr:nvSpPr>
            <xdr:cNvPr id="6" name="Rectángulo: esquinas redondeadas 5">
              <a:extLst>
                <a:ext uri="{FF2B5EF4-FFF2-40B4-BE49-F238E27FC236}">
                  <a16:creationId xmlns:a16="http://schemas.microsoft.com/office/drawing/2014/main" id="{9DE94B82-3AF8-D43F-F146-03AD3D0F7627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7" name="Rectángulo: esquinas redondeadas 6">
              <a:extLst>
                <a:ext uri="{FF2B5EF4-FFF2-40B4-BE49-F238E27FC236}">
                  <a16:creationId xmlns:a16="http://schemas.microsoft.com/office/drawing/2014/main" id="{CFDF494F-F448-450F-45B2-E78CB1A3C8D7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8" name="Rectángulo: esquinas redondeadas 7">
              <a:extLst>
                <a:ext uri="{FF2B5EF4-FFF2-40B4-BE49-F238E27FC236}">
                  <a16:creationId xmlns:a16="http://schemas.microsoft.com/office/drawing/2014/main" id="{78CA99F2-E46E-6ABB-544E-DA7184C9D794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rgbClr val="0070C0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tx1"/>
                  </a:solidFill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solidFill>
                    <a:schemeClr val="tx1"/>
                  </a:solidFill>
                  <a:latin typeface="Abadi" panose="020B0604020104020204" pitchFamily="34" charset="0"/>
                </a:rPr>
                <a:t> DE COMPROBACIÓN</a:t>
              </a:r>
              <a:endParaRPr lang="es-MX" sz="1200" b="0">
                <a:solidFill>
                  <a:schemeClr val="tx1"/>
                </a:solidFill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9" name="Rectángulo: esquinas redondeadas 8">
              <a:extLst>
                <a:ext uri="{FF2B5EF4-FFF2-40B4-BE49-F238E27FC236}">
                  <a16:creationId xmlns:a16="http://schemas.microsoft.com/office/drawing/2014/main" id="{9CC3D1CA-FF5A-CC83-AC5C-6AF19187AEC7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10" name="Rectángulo: esquinas redondeadas 9">
              <a:extLst>
                <a:ext uri="{FF2B5EF4-FFF2-40B4-BE49-F238E27FC236}">
                  <a16:creationId xmlns:a16="http://schemas.microsoft.com/office/drawing/2014/main" id="{52E1B4CE-83F2-E0E8-9E08-C7A8FA73F6AC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11" name="Rectángulo: esquinas redondeadas 10">
              <a:extLst>
                <a:ext uri="{FF2B5EF4-FFF2-40B4-BE49-F238E27FC236}">
                  <a16:creationId xmlns:a16="http://schemas.microsoft.com/office/drawing/2014/main" id="{E10DB605-488E-10EF-65B2-896C159629E9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19" name="Rectángulo: esquinas redondeadas 18">
              <a:extLst>
                <a:ext uri="{FF2B5EF4-FFF2-40B4-BE49-F238E27FC236}">
                  <a16:creationId xmlns:a16="http://schemas.microsoft.com/office/drawing/2014/main" id="{485AD47C-43F9-533E-BD5C-5F5641CA2D82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0" name="Rectángulo: esquinas redondeadas 19">
              <a:extLst>
                <a:ext uri="{FF2B5EF4-FFF2-40B4-BE49-F238E27FC236}">
                  <a16:creationId xmlns:a16="http://schemas.microsoft.com/office/drawing/2014/main" id="{F999FA47-64B5-EB56-8270-9C3CAB2E3B2E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1" name="Rectángulo: esquinas redondeadas 20">
              <a:extLst>
                <a:ext uri="{FF2B5EF4-FFF2-40B4-BE49-F238E27FC236}">
                  <a16:creationId xmlns:a16="http://schemas.microsoft.com/office/drawing/2014/main" id="{092ADDA7-A597-41FB-ACFA-969D981FEEE5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BB12156A-FF65-A4E6-41C4-13DEF05057A4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8F7CBF23-5C44-A2C9-8783-AA8BD6CDA6E8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grpFill/>
          <a:ln w="19050">
            <a:solidFill>
              <a:schemeClr val="bg1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95250</xdr:colOff>
      <xdr:row>7</xdr:row>
      <xdr:rowOff>168088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27158967-D3C8-4F4F-A340-A68FC785C0DE}"/>
            </a:ext>
          </a:extLst>
        </xdr:cNvPr>
        <xdr:cNvGrpSpPr/>
      </xdr:nvGrpSpPr>
      <xdr:grpSpPr>
        <a:xfrm>
          <a:off x="0" y="0"/>
          <a:ext cx="21703393" cy="1501588"/>
          <a:chOff x="0" y="0"/>
          <a:chExt cx="21703393" cy="1501588"/>
        </a:xfrm>
      </xdr:grpSpPr>
      <xdr:grpSp>
        <xdr:nvGrpSpPr>
          <xdr:cNvPr id="30" name="Grupo 29">
            <a:extLst>
              <a:ext uri="{FF2B5EF4-FFF2-40B4-BE49-F238E27FC236}">
                <a16:creationId xmlns:a16="http://schemas.microsoft.com/office/drawing/2014/main" id="{EF93EE30-4815-4513-A5C8-55BCA3404419}"/>
              </a:ext>
            </a:extLst>
          </xdr:cNvPr>
          <xdr:cNvGrpSpPr/>
        </xdr:nvGrpSpPr>
        <xdr:grpSpPr>
          <a:xfrm>
            <a:off x="0" y="0"/>
            <a:ext cx="21703393" cy="1501588"/>
            <a:chOff x="0" y="0"/>
            <a:chExt cx="21663319" cy="1501588"/>
          </a:xfrm>
        </xdr:grpSpPr>
        <xdr:sp macro="" textlink="">
          <xdr:nvSpPr>
            <xdr:cNvPr id="32" name="Paralelogramo 31">
              <a:extLst>
                <a:ext uri="{FF2B5EF4-FFF2-40B4-BE49-F238E27FC236}">
                  <a16:creationId xmlns:a16="http://schemas.microsoft.com/office/drawing/2014/main" id="{A509EC6A-B1CC-217D-46E5-4C4A0DA1FF5D}"/>
                </a:ext>
              </a:extLst>
            </xdr:cNvPr>
            <xdr:cNvSpPr/>
          </xdr:nvSpPr>
          <xdr:spPr>
            <a:xfrm>
              <a:off x="0" y="0"/>
              <a:ext cx="21663319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33" name="Rectángulo 32">
              <a:extLst>
                <a:ext uri="{FF2B5EF4-FFF2-40B4-BE49-F238E27FC236}">
                  <a16:creationId xmlns:a16="http://schemas.microsoft.com/office/drawing/2014/main" id="{7393A0C8-1B17-95E9-B4F6-17D3DD1B1F3D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</xdr:grpSp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07308B73-F5C3-BCBC-CFA8-B61656B130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9456955" y="68037"/>
            <a:ext cx="4435928" cy="1406366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</xdr:col>
      <xdr:colOff>1135599</xdr:colOff>
      <xdr:row>12</xdr:row>
      <xdr:rowOff>35753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1C11C8CB-A8A9-6D4E-D292-7B05EF79AE35}"/>
            </a:ext>
          </a:extLst>
        </xdr:cNvPr>
        <xdr:cNvGrpSpPr/>
      </xdr:nvGrpSpPr>
      <xdr:grpSpPr>
        <a:xfrm>
          <a:off x="0" y="0"/>
          <a:ext cx="11558670" cy="2321753"/>
          <a:chOff x="0" y="0"/>
          <a:chExt cx="11561197" cy="2337655"/>
        </a:xfrm>
      </xdr:grpSpPr>
      <xdr:grpSp>
        <xdr:nvGrpSpPr>
          <xdr:cNvPr id="20" name="Grupo 19">
            <a:extLst>
              <a:ext uri="{FF2B5EF4-FFF2-40B4-BE49-F238E27FC236}">
                <a16:creationId xmlns:a16="http://schemas.microsoft.com/office/drawing/2014/main" id="{8C26F1F9-537D-F4FE-C9E7-263BC1EC9417}"/>
              </a:ext>
            </a:extLst>
          </xdr:cNvPr>
          <xdr:cNvGrpSpPr/>
        </xdr:nvGrpSpPr>
        <xdr:grpSpPr>
          <a:xfrm>
            <a:off x="5022681" y="1090599"/>
            <a:ext cx="6538516" cy="1247056"/>
            <a:chOff x="5373353" y="1308314"/>
            <a:chExt cx="5072276" cy="1247056"/>
          </a:xfrm>
        </xdr:grpSpPr>
        <xdr:sp macro="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A64F11DF-7A75-6D6D-829F-0C563E2931FD}"/>
                </a:ext>
              </a:extLst>
            </xdr:cNvPr>
            <xdr:cNvSpPr/>
          </xdr:nvSpPr>
          <xdr:spPr>
            <a:xfrm>
              <a:off x="5373353" y="1308314"/>
              <a:ext cx="5072276" cy="1247056"/>
            </a:xfrm>
            <a:prstGeom prst="roundRect">
              <a:avLst>
                <a:gd name="adj" fmla="val 32796"/>
              </a:avLst>
            </a:prstGeom>
            <a:solidFill>
              <a:srgbClr val="0070C0"/>
            </a:solidFill>
            <a:ln>
              <a:noFill/>
            </a:ln>
            <a:effectLst>
              <a:outerShdw blurRad="165100" dist="76200" dir="5400000" rotWithShape="0">
                <a:srgbClr val="000000">
                  <a:alpha val="35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8C941717-38D1-9A8C-BD90-E3E4FE9FD2CD}"/>
                </a:ext>
              </a:extLst>
            </xdr:cNvPr>
            <xdr:cNvSpPr txBox="1"/>
          </xdr:nvSpPr>
          <xdr:spPr>
            <a:xfrm>
              <a:off x="6511967" y="1809463"/>
              <a:ext cx="2639306" cy="666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4000" b="1">
                  <a:solidFill>
                    <a:schemeClr val="bg1"/>
                  </a:solidFill>
                  <a:latin typeface="Abadi" panose="020B0604020104020204" pitchFamily="34" charset="0"/>
                </a:rPr>
                <a:t>PÓLIZAS</a:t>
              </a:r>
            </a:p>
          </xdr:txBody>
        </xdr:sp>
      </xdr:grpSp>
      <xdr:sp macro="" textlink="">
        <xdr:nvSpPr>
          <xdr:cNvPr id="25" name="Rectángulo 24">
            <a:extLst>
              <a:ext uri="{FF2B5EF4-FFF2-40B4-BE49-F238E27FC236}">
                <a16:creationId xmlns:a16="http://schemas.microsoft.com/office/drawing/2014/main" id="{04EABC54-58EE-643B-B905-DBC71FE43E63}"/>
              </a:ext>
            </a:extLst>
          </xdr:cNvPr>
          <xdr:cNvSpPr/>
        </xdr:nvSpPr>
        <xdr:spPr>
          <a:xfrm>
            <a:off x="0" y="0"/>
            <a:ext cx="1064077" cy="1470122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</xdr:grpSp>
    <xdr:clientData/>
  </xdr:twoCellAnchor>
  <xdr:twoCellAnchor editAs="absolute">
    <xdr:from>
      <xdr:col>9</xdr:col>
      <xdr:colOff>382239</xdr:colOff>
      <xdr:row>19</xdr:row>
      <xdr:rowOff>18556</xdr:rowOff>
    </xdr:from>
    <xdr:to>
      <xdr:col>16</xdr:col>
      <xdr:colOff>328973</xdr:colOff>
      <xdr:row>35</xdr:row>
      <xdr:rowOff>213064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5BFB3C0A-D609-0E4F-FBD7-8790D29A3154}"/>
            </a:ext>
          </a:extLst>
        </xdr:cNvPr>
        <xdr:cNvGrpSpPr/>
      </xdr:nvGrpSpPr>
      <xdr:grpSpPr>
        <a:xfrm>
          <a:off x="14207096" y="4046270"/>
          <a:ext cx="5280734" cy="5201937"/>
          <a:chOff x="14166275" y="3570019"/>
          <a:chExt cx="5280734" cy="5002481"/>
        </a:xfrm>
        <a:solidFill>
          <a:schemeClr val="bg1"/>
        </a:solidFill>
      </xdr:grpSpPr>
      <xdr:sp macro="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DF85DAB0-8619-1357-8C67-2E0E11E71663}"/>
              </a:ext>
            </a:extLst>
          </xdr:cNvPr>
          <xdr:cNvSpPr/>
        </xdr:nvSpPr>
        <xdr:spPr>
          <a:xfrm>
            <a:off x="15987232" y="3583626"/>
            <a:ext cx="1618011" cy="4961659"/>
          </a:xfrm>
          <a:prstGeom prst="roundRect">
            <a:avLst>
              <a:gd name="adj" fmla="val 15882"/>
            </a:avLst>
          </a:prstGeom>
          <a:grpFill/>
          <a:ln w="57150">
            <a:solidFill>
              <a:srgbClr val="0070C0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>
              <a:solidFill>
                <a:schemeClr val="tx1"/>
              </a:solidFill>
            </a:endParaRPr>
          </a:p>
        </xdr:txBody>
      </xdr:sp>
      <xdr:sp macro="[0]!FiltrarYCopiarDatos_RG_14" textlink="">
        <xdr:nvSpPr>
          <xdr:cNvPr id="59" name="Rectángulo: esquinas redondeadas 58">
            <a:extLst>
              <a:ext uri="{FF2B5EF4-FFF2-40B4-BE49-F238E27FC236}">
                <a16:creationId xmlns:a16="http://schemas.microsoft.com/office/drawing/2014/main" id="{BA16052B-E797-380D-7DAA-3452974216DB}"/>
              </a:ext>
            </a:extLst>
          </xdr:cNvPr>
          <xdr:cNvSpPr/>
        </xdr:nvSpPr>
        <xdr:spPr>
          <a:xfrm>
            <a:off x="16125112" y="5160021"/>
            <a:ext cx="1355788" cy="395838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14</a:t>
            </a:r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D594A129-D978-77BD-2806-56791304AF22}"/>
              </a:ext>
            </a:extLst>
          </xdr:cNvPr>
          <xdr:cNvSpPr/>
        </xdr:nvSpPr>
        <xdr:spPr>
          <a:xfrm>
            <a:off x="17828998" y="3570020"/>
            <a:ext cx="1618011" cy="5002480"/>
          </a:xfrm>
          <a:prstGeom prst="roundRect">
            <a:avLst>
              <a:gd name="adj" fmla="val 15882"/>
            </a:avLst>
          </a:prstGeom>
          <a:grpFill/>
          <a:ln w="57150">
            <a:solidFill>
              <a:srgbClr val="0070C0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>
              <a:solidFill>
                <a:schemeClr val="tx1"/>
              </a:solidFill>
            </a:endParaRPr>
          </a:p>
        </xdr:txBody>
      </xdr:sp>
      <xdr:sp macro="" textlink="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B7A393AC-2FB1-190F-791C-517BBFC6EB1D}"/>
              </a:ext>
            </a:extLst>
          </xdr:cNvPr>
          <xdr:cNvSpPr/>
        </xdr:nvSpPr>
        <xdr:spPr>
          <a:xfrm>
            <a:off x="14166275" y="3570019"/>
            <a:ext cx="1618011" cy="4975267"/>
          </a:xfrm>
          <a:prstGeom prst="roundRect">
            <a:avLst>
              <a:gd name="adj" fmla="val 15882"/>
            </a:avLst>
          </a:prstGeom>
          <a:grpFill/>
          <a:ln w="57150">
            <a:solidFill>
              <a:srgbClr val="0070C0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>
              <a:solidFill>
                <a:schemeClr val="tx1"/>
              </a:solidFill>
            </a:endParaRPr>
          </a:p>
        </xdr:txBody>
      </xdr:sp>
      <xdr:sp macro="[0]!FiltrarYCopiarDatos_RG_1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ACAD81F5-1D78-F383-FB45-B5FE03921391}"/>
              </a:ext>
            </a:extLst>
          </xdr:cNvPr>
          <xdr:cNvSpPr/>
        </xdr:nvSpPr>
        <xdr:spPr>
          <a:xfrm>
            <a:off x="14308143" y="3731552"/>
            <a:ext cx="1331614" cy="405120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1</a:t>
            </a:r>
          </a:p>
        </xdr:txBody>
      </xdr:sp>
      <xdr:sp macro="[0]!FiltrarYCopiarDatos_RG_2" textlink="">
        <xdr:nvSpPr>
          <xdr:cNvPr id="32" name="Rectángulo: esquinas redondeadas 31">
            <a:extLst>
              <a:ext uri="{FF2B5EF4-FFF2-40B4-BE49-F238E27FC236}">
                <a16:creationId xmlns:a16="http://schemas.microsoft.com/office/drawing/2014/main" id="{A182CB2D-0A39-48D5-84DD-3BDBB63B3823}"/>
              </a:ext>
            </a:extLst>
          </xdr:cNvPr>
          <xdr:cNvSpPr/>
        </xdr:nvSpPr>
        <xdr:spPr>
          <a:xfrm>
            <a:off x="14298741" y="4208716"/>
            <a:ext cx="1341782" cy="393099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2</a:t>
            </a:r>
          </a:p>
        </xdr:txBody>
      </xdr:sp>
      <xdr:sp macro="[0]!FiltrarYCopiarDatos_RG_3" textlink="">
        <xdr:nvSpPr>
          <xdr:cNvPr id="34" name="Rectángulo: esquinas redondeadas 33">
            <a:extLst>
              <a:ext uri="{FF2B5EF4-FFF2-40B4-BE49-F238E27FC236}">
                <a16:creationId xmlns:a16="http://schemas.microsoft.com/office/drawing/2014/main" id="{87CB73D8-07F1-0F2A-3551-FC665BADAEB2}"/>
              </a:ext>
            </a:extLst>
          </xdr:cNvPr>
          <xdr:cNvSpPr/>
        </xdr:nvSpPr>
        <xdr:spPr>
          <a:xfrm>
            <a:off x="14305087" y="4687300"/>
            <a:ext cx="1336547" cy="383030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3</a:t>
            </a:r>
          </a:p>
        </xdr:txBody>
      </xdr:sp>
      <xdr:sp macro="[0]!FiltrarYCopiarDatos_RG_4" textlink="">
        <xdr:nvSpPr>
          <xdr:cNvPr id="37" name="Rectángulo: esquinas redondeadas 36">
            <a:extLst>
              <a:ext uri="{FF2B5EF4-FFF2-40B4-BE49-F238E27FC236}">
                <a16:creationId xmlns:a16="http://schemas.microsoft.com/office/drawing/2014/main" id="{809E2FFE-37B1-2644-1E07-8BA71C20BBF3}"/>
              </a:ext>
            </a:extLst>
          </xdr:cNvPr>
          <xdr:cNvSpPr/>
        </xdr:nvSpPr>
        <xdr:spPr>
          <a:xfrm>
            <a:off x="14296805" y="5158516"/>
            <a:ext cx="1315535" cy="385232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4</a:t>
            </a:r>
          </a:p>
        </xdr:txBody>
      </xdr:sp>
      <xdr:sp macro="[0]!FiltrarYCopiarDatos_RG_5" textlink="">
        <xdr:nvSpPr>
          <xdr:cNvPr id="39" name="Rectángulo: esquinas redondeadas 38">
            <a:extLst>
              <a:ext uri="{FF2B5EF4-FFF2-40B4-BE49-F238E27FC236}">
                <a16:creationId xmlns:a16="http://schemas.microsoft.com/office/drawing/2014/main" id="{DB16ED6C-A4A0-3DF0-3A74-8D944B7B8BD4}"/>
              </a:ext>
            </a:extLst>
          </xdr:cNvPr>
          <xdr:cNvSpPr/>
        </xdr:nvSpPr>
        <xdr:spPr>
          <a:xfrm>
            <a:off x="14314948" y="5638923"/>
            <a:ext cx="1294341" cy="371582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5</a:t>
            </a:r>
          </a:p>
        </xdr:txBody>
      </xdr:sp>
      <xdr:sp macro="[0]!FiltrarYCopiarDatos_RG_6" textlink="">
        <xdr:nvSpPr>
          <xdr:cNvPr id="41" name="Rectángulo: esquinas redondeadas 40">
            <a:extLst>
              <a:ext uri="{FF2B5EF4-FFF2-40B4-BE49-F238E27FC236}">
                <a16:creationId xmlns:a16="http://schemas.microsoft.com/office/drawing/2014/main" id="{ED4FD3D7-FA54-7BEF-259C-4FAA037339F9}"/>
              </a:ext>
            </a:extLst>
          </xdr:cNvPr>
          <xdr:cNvSpPr/>
        </xdr:nvSpPr>
        <xdr:spPr>
          <a:xfrm>
            <a:off x="14320272" y="6101062"/>
            <a:ext cx="1303563" cy="414832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6</a:t>
            </a:r>
          </a:p>
        </xdr:txBody>
      </xdr:sp>
      <xdr:sp macro="[0]!FiltrarYCopiarDatos_RG_8" textlink="">
        <xdr:nvSpPr>
          <xdr:cNvPr id="46" name="Rectángulo: esquinas redondeadas 45">
            <a:extLst>
              <a:ext uri="{FF2B5EF4-FFF2-40B4-BE49-F238E27FC236}">
                <a16:creationId xmlns:a16="http://schemas.microsoft.com/office/drawing/2014/main" id="{04EE4C92-ADE0-E042-D4B5-E8973F5E0AE4}"/>
              </a:ext>
            </a:extLst>
          </xdr:cNvPr>
          <xdr:cNvSpPr/>
        </xdr:nvSpPr>
        <xdr:spPr>
          <a:xfrm>
            <a:off x="14283413" y="7059220"/>
            <a:ext cx="1366428" cy="395389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8</a:t>
            </a:r>
          </a:p>
        </xdr:txBody>
      </xdr:sp>
      <xdr:sp macro="[0]!FiltrarYCopiarDatos_RG_9" textlink="">
        <xdr:nvSpPr>
          <xdr:cNvPr id="48" name="Rectángulo: esquinas redondeadas 47">
            <a:extLst>
              <a:ext uri="{FF2B5EF4-FFF2-40B4-BE49-F238E27FC236}">
                <a16:creationId xmlns:a16="http://schemas.microsoft.com/office/drawing/2014/main" id="{248DE249-7337-21E7-07C0-E1B0FDAC605F}"/>
              </a:ext>
            </a:extLst>
          </xdr:cNvPr>
          <xdr:cNvSpPr/>
        </xdr:nvSpPr>
        <xdr:spPr>
          <a:xfrm>
            <a:off x="14269808" y="7518637"/>
            <a:ext cx="1366428" cy="395386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9</a:t>
            </a:r>
          </a:p>
        </xdr:txBody>
      </xdr:sp>
      <xdr:sp macro="[0]!FiltrarYCopiarDatos_RG_10" textlink="">
        <xdr:nvSpPr>
          <xdr:cNvPr id="50" name="Rectángulo: esquinas redondeadas 49">
            <a:extLst>
              <a:ext uri="{FF2B5EF4-FFF2-40B4-BE49-F238E27FC236}">
                <a16:creationId xmlns:a16="http://schemas.microsoft.com/office/drawing/2014/main" id="{29948DF7-F1A6-3683-7E41-2D2F6FE98BF1}"/>
              </a:ext>
            </a:extLst>
          </xdr:cNvPr>
          <xdr:cNvSpPr/>
        </xdr:nvSpPr>
        <xdr:spPr>
          <a:xfrm>
            <a:off x="14283414" y="7980969"/>
            <a:ext cx="1355788" cy="391766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10</a:t>
            </a:r>
          </a:p>
        </xdr:txBody>
      </xdr:sp>
      <xdr:sp macro="[0]!FiltrarYCopiarDatos_RG_11" textlink="">
        <xdr:nvSpPr>
          <xdr:cNvPr id="52" name="Rectángulo: esquinas redondeadas 51">
            <a:extLst>
              <a:ext uri="{FF2B5EF4-FFF2-40B4-BE49-F238E27FC236}">
                <a16:creationId xmlns:a16="http://schemas.microsoft.com/office/drawing/2014/main" id="{FD64F466-7CF0-5B16-4F99-AFE6B9D2FB9E}"/>
              </a:ext>
            </a:extLst>
          </xdr:cNvPr>
          <xdr:cNvSpPr/>
        </xdr:nvSpPr>
        <xdr:spPr>
          <a:xfrm>
            <a:off x="16115054" y="3755801"/>
            <a:ext cx="1355788" cy="384944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11</a:t>
            </a:r>
          </a:p>
        </xdr:txBody>
      </xdr:sp>
      <xdr:sp macro="[0]!FiltrarYCopiarDatos_RG_12" textlink="">
        <xdr:nvSpPr>
          <xdr:cNvPr id="54" name="Rectángulo: esquinas redondeadas 53">
            <a:extLst>
              <a:ext uri="{FF2B5EF4-FFF2-40B4-BE49-F238E27FC236}">
                <a16:creationId xmlns:a16="http://schemas.microsoft.com/office/drawing/2014/main" id="{F45474BF-A5C1-DA79-B0BE-B1E5E6DDF750}"/>
              </a:ext>
            </a:extLst>
          </xdr:cNvPr>
          <xdr:cNvSpPr/>
        </xdr:nvSpPr>
        <xdr:spPr>
          <a:xfrm>
            <a:off x="16128661" y="4230752"/>
            <a:ext cx="1355788" cy="386651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12</a:t>
            </a:r>
          </a:p>
        </xdr:txBody>
      </xdr:sp>
      <xdr:sp macro="[0]!FiltrarYCopiarDatos_RG_13" textlink="">
        <xdr:nvSpPr>
          <xdr:cNvPr id="56" name="Rectángulo: esquinas redondeadas 55">
            <a:extLst>
              <a:ext uri="{FF2B5EF4-FFF2-40B4-BE49-F238E27FC236}">
                <a16:creationId xmlns:a16="http://schemas.microsoft.com/office/drawing/2014/main" id="{BAC65B97-0210-AA38-D937-A3CA0D8D0A3F}"/>
              </a:ext>
            </a:extLst>
          </xdr:cNvPr>
          <xdr:cNvSpPr/>
        </xdr:nvSpPr>
        <xdr:spPr>
          <a:xfrm>
            <a:off x="16109138" y="4683322"/>
            <a:ext cx="1355788" cy="385042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13</a:t>
            </a:r>
          </a:p>
        </xdr:txBody>
      </xdr:sp>
      <xdr:sp macro="[0]!FiltrarYCopiarDatos_RG_7" textlink="">
        <xdr:nvSpPr>
          <xdr:cNvPr id="65" name="Rectángulo: esquinas redondeadas 64">
            <a:extLst>
              <a:ext uri="{FF2B5EF4-FFF2-40B4-BE49-F238E27FC236}">
                <a16:creationId xmlns:a16="http://schemas.microsoft.com/office/drawing/2014/main" id="{F005D306-999A-859D-AB25-97B9CEBEE414}"/>
              </a:ext>
            </a:extLst>
          </xdr:cNvPr>
          <xdr:cNvSpPr/>
        </xdr:nvSpPr>
        <xdr:spPr>
          <a:xfrm>
            <a:off x="14287498" y="6593355"/>
            <a:ext cx="1356717" cy="405359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7</a:t>
            </a:r>
          </a:p>
        </xdr:txBody>
      </xdr:sp>
      <xdr:sp macro="[0]!FiltrarYCopiarDatos_RG_16" textlink="">
        <xdr:nvSpPr>
          <xdr:cNvPr id="125" name="Rectángulo: esquinas redondeadas 124">
            <a:extLst>
              <a:ext uri="{FF2B5EF4-FFF2-40B4-BE49-F238E27FC236}">
                <a16:creationId xmlns:a16="http://schemas.microsoft.com/office/drawing/2014/main" id="{2CC232D7-6021-84EC-0B33-738B53ABAD6C}"/>
              </a:ext>
            </a:extLst>
          </xdr:cNvPr>
          <xdr:cNvSpPr/>
        </xdr:nvSpPr>
        <xdr:spPr>
          <a:xfrm>
            <a:off x="16097908" y="6106997"/>
            <a:ext cx="1380826" cy="395565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16</a:t>
            </a:r>
          </a:p>
        </xdr:txBody>
      </xdr:sp>
      <xdr:sp macro="[0]!FiltrarYCopiarDatos_RG_17" textlink="">
        <xdr:nvSpPr>
          <xdr:cNvPr id="127" name="Rectángulo: esquinas redondeadas 126">
            <a:extLst>
              <a:ext uri="{FF2B5EF4-FFF2-40B4-BE49-F238E27FC236}">
                <a16:creationId xmlns:a16="http://schemas.microsoft.com/office/drawing/2014/main" id="{D6DFCCDE-E309-10C6-7AFC-CBBEAE36F3A8}"/>
              </a:ext>
            </a:extLst>
          </xdr:cNvPr>
          <xdr:cNvSpPr/>
        </xdr:nvSpPr>
        <xdr:spPr>
          <a:xfrm>
            <a:off x="16095505" y="6584129"/>
            <a:ext cx="1380826" cy="392462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17</a:t>
            </a:r>
          </a:p>
        </xdr:txBody>
      </xdr:sp>
      <xdr:sp macro="[0]!FiltrarYCopiarDatos_RG_18" textlink="">
        <xdr:nvSpPr>
          <xdr:cNvPr id="129" name="Rectángulo: esquinas redondeadas 128">
            <a:extLst>
              <a:ext uri="{FF2B5EF4-FFF2-40B4-BE49-F238E27FC236}">
                <a16:creationId xmlns:a16="http://schemas.microsoft.com/office/drawing/2014/main" id="{CDFE586E-6CE0-69B7-9A95-2F14C104E898}"/>
              </a:ext>
            </a:extLst>
          </xdr:cNvPr>
          <xdr:cNvSpPr/>
        </xdr:nvSpPr>
        <xdr:spPr>
          <a:xfrm>
            <a:off x="16081900" y="7063611"/>
            <a:ext cx="1380826" cy="392497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18</a:t>
            </a:r>
          </a:p>
        </xdr:txBody>
      </xdr:sp>
      <xdr:sp macro="[0]!FiltrarYCopiarDatos_RG_19" textlink="">
        <xdr:nvSpPr>
          <xdr:cNvPr id="131" name="Rectángulo: esquinas redondeadas 130">
            <a:extLst>
              <a:ext uri="{FF2B5EF4-FFF2-40B4-BE49-F238E27FC236}">
                <a16:creationId xmlns:a16="http://schemas.microsoft.com/office/drawing/2014/main" id="{51899B72-7E4C-B9AB-3684-68FAC431E2C6}"/>
              </a:ext>
            </a:extLst>
          </xdr:cNvPr>
          <xdr:cNvSpPr/>
        </xdr:nvSpPr>
        <xdr:spPr>
          <a:xfrm>
            <a:off x="16095505" y="7546706"/>
            <a:ext cx="1380826" cy="387833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19</a:t>
            </a:r>
          </a:p>
        </xdr:txBody>
      </xdr:sp>
      <xdr:sp macro="[0]!FiltrarYCopiarDatos_RG_20" textlink="">
        <xdr:nvSpPr>
          <xdr:cNvPr id="133" name="Rectángulo: esquinas redondeadas 132">
            <a:extLst>
              <a:ext uri="{FF2B5EF4-FFF2-40B4-BE49-F238E27FC236}">
                <a16:creationId xmlns:a16="http://schemas.microsoft.com/office/drawing/2014/main" id="{7CD22B30-E2FE-5542-CAF4-E33B1241227A}"/>
              </a:ext>
            </a:extLst>
          </xdr:cNvPr>
          <xdr:cNvSpPr/>
        </xdr:nvSpPr>
        <xdr:spPr>
          <a:xfrm>
            <a:off x="16097908" y="8011032"/>
            <a:ext cx="1380826" cy="379830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20</a:t>
            </a:r>
          </a:p>
        </xdr:txBody>
      </xdr:sp>
      <xdr:sp macro="[0]!FiltrarYCopiarDatos_RG_21" textlink="">
        <xdr:nvSpPr>
          <xdr:cNvPr id="135" name="Rectángulo: esquinas redondeadas 134">
            <a:extLst>
              <a:ext uri="{FF2B5EF4-FFF2-40B4-BE49-F238E27FC236}">
                <a16:creationId xmlns:a16="http://schemas.microsoft.com/office/drawing/2014/main" id="{7CEA3CDE-F40C-9FE4-9648-8CF6097FA7F8}"/>
              </a:ext>
            </a:extLst>
          </xdr:cNvPr>
          <xdr:cNvSpPr/>
        </xdr:nvSpPr>
        <xdr:spPr>
          <a:xfrm>
            <a:off x="17946078" y="3757478"/>
            <a:ext cx="1380826" cy="377877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21</a:t>
            </a:r>
          </a:p>
        </xdr:txBody>
      </xdr:sp>
      <xdr:sp macro="[0]!FiltrarYCopiarDatos_RG_22" textlink="">
        <xdr:nvSpPr>
          <xdr:cNvPr id="137" name="Rectángulo: esquinas redondeadas 136">
            <a:extLst>
              <a:ext uri="{FF2B5EF4-FFF2-40B4-BE49-F238E27FC236}">
                <a16:creationId xmlns:a16="http://schemas.microsoft.com/office/drawing/2014/main" id="{AE8AB683-6501-5F90-9A6A-CBDA1134F0AF}"/>
              </a:ext>
            </a:extLst>
          </xdr:cNvPr>
          <xdr:cNvSpPr/>
        </xdr:nvSpPr>
        <xdr:spPr>
          <a:xfrm>
            <a:off x="17942076" y="4228889"/>
            <a:ext cx="1380826" cy="389014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22</a:t>
            </a:r>
          </a:p>
        </xdr:txBody>
      </xdr:sp>
      <xdr:sp macro="[0]!FiltrarYCopiarDatos_RG_15" textlink="">
        <xdr:nvSpPr>
          <xdr:cNvPr id="123" name="Rectángulo: esquinas redondeadas 122">
            <a:extLst>
              <a:ext uri="{FF2B5EF4-FFF2-40B4-BE49-F238E27FC236}">
                <a16:creationId xmlns:a16="http://schemas.microsoft.com/office/drawing/2014/main" id="{1FE9F90C-FABA-924E-2E8E-03755685D8CC}"/>
              </a:ext>
            </a:extLst>
          </xdr:cNvPr>
          <xdr:cNvSpPr/>
        </xdr:nvSpPr>
        <xdr:spPr>
          <a:xfrm>
            <a:off x="16113116" y="5617607"/>
            <a:ext cx="1380826" cy="405359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15</a:t>
            </a:r>
          </a:p>
        </xdr:txBody>
      </xdr:sp>
      <xdr:sp macro="[0]!FiltrarYCopiarDatos_RG_24" textlink="">
        <xdr:nvSpPr>
          <xdr:cNvPr id="147" name="Rectángulo: esquinas redondeadas 146">
            <a:extLst>
              <a:ext uri="{FF2B5EF4-FFF2-40B4-BE49-F238E27FC236}">
                <a16:creationId xmlns:a16="http://schemas.microsoft.com/office/drawing/2014/main" id="{B9464BCE-8876-009E-D732-4C112DCC698F}"/>
              </a:ext>
            </a:extLst>
          </xdr:cNvPr>
          <xdr:cNvSpPr/>
        </xdr:nvSpPr>
        <xdr:spPr>
          <a:xfrm>
            <a:off x="17929271" y="5161699"/>
            <a:ext cx="1380826" cy="398489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24</a:t>
            </a:r>
          </a:p>
        </xdr:txBody>
      </xdr:sp>
      <xdr:sp macro="[0]!FiltrarYCopiarDatos_RG_25" textlink="">
        <xdr:nvSpPr>
          <xdr:cNvPr id="149" name="Rectángulo: esquinas redondeadas 148">
            <a:extLst>
              <a:ext uri="{FF2B5EF4-FFF2-40B4-BE49-F238E27FC236}">
                <a16:creationId xmlns:a16="http://schemas.microsoft.com/office/drawing/2014/main" id="{6A422054-5083-FD60-22E4-F073DCF41C49}"/>
              </a:ext>
            </a:extLst>
          </xdr:cNvPr>
          <xdr:cNvSpPr/>
        </xdr:nvSpPr>
        <xdr:spPr>
          <a:xfrm>
            <a:off x="17929271" y="5636564"/>
            <a:ext cx="1380826" cy="381046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25</a:t>
            </a:r>
          </a:p>
        </xdr:txBody>
      </xdr:sp>
      <xdr:sp macro="[0]!FiltrarYCopiarDatos_RG_26" textlink="">
        <xdr:nvSpPr>
          <xdr:cNvPr id="151" name="Rectángulo: esquinas redondeadas 150">
            <a:extLst>
              <a:ext uri="{FF2B5EF4-FFF2-40B4-BE49-F238E27FC236}">
                <a16:creationId xmlns:a16="http://schemas.microsoft.com/office/drawing/2014/main" id="{821E3495-7B3C-FDE5-8DE5-1AB19E8A91A4}"/>
              </a:ext>
            </a:extLst>
          </xdr:cNvPr>
          <xdr:cNvSpPr/>
        </xdr:nvSpPr>
        <xdr:spPr>
          <a:xfrm>
            <a:off x="17931672" y="6120715"/>
            <a:ext cx="1380826" cy="392497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26</a:t>
            </a:r>
          </a:p>
        </xdr:txBody>
      </xdr:sp>
      <xdr:sp macro="[0]!FiltrarYCopiarDatos_RG_27" textlink="">
        <xdr:nvSpPr>
          <xdr:cNvPr id="153" name="Rectángulo: esquinas redondeadas 152">
            <a:extLst>
              <a:ext uri="{FF2B5EF4-FFF2-40B4-BE49-F238E27FC236}">
                <a16:creationId xmlns:a16="http://schemas.microsoft.com/office/drawing/2014/main" id="{1C20B02A-1730-5795-EE30-21E8F31D5F92}"/>
              </a:ext>
            </a:extLst>
          </xdr:cNvPr>
          <xdr:cNvSpPr/>
        </xdr:nvSpPr>
        <xdr:spPr>
          <a:xfrm>
            <a:off x="17920466" y="6599007"/>
            <a:ext cx="1380826" cy="387833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27</a:t>
            </a:r>
          </a:p>
        </xdr:txBody>
      </xdr:sp>
      <xdr:sp macro="[0]!FiltrarYCopiarDatos_RG_28" textlink="">
        <xdr:nvSpPr>
          <xdr:cNvPr id="155" name="Rectángulo: esquinas redondeadas 154">
            <a:extLst>
              <a:ext uri="{FF2B5EF4-FFF2-40B4-BE49-F238E27FC236}">
                <a16:creationId xmlns:a16="http://schemas.microsoft.com/office/drawing/2014/main" id="{75C87FE9-5A9A-D8EC-9CF2-018F829A0910}"/>
              </a:ext>
            </a:extLst>
          </xdr:cNvPr>
          <xdr:cNvSpPr/>
        </xdr:nvSpPr>
        <xdr:spPr>
          <a:xfrm>
            <a:off x="17909261" y="7080142"/>
            <a:ext cx="1380826" cy="386128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28</a:t>
            </a:r>
          </a:p>
        </xdr:txBody>
      </xdr:sp>
      <xdr:sp macro="[0]!FiltrarYCopiarDatos_RG_29" textlink="">
        <xdr:nvSpPr>
          <xdr:cNvPr id="157" name="Rectángulo: esquinas redondeadas 156">
            <a:extLst>
              <a:ext uri="{FF2B5EF4-FFF2-40B4-BE49-F238E27FC236}">
                <a16:creationId xmlns:a16="http://schemas.microsoft.com/office/drawing/2014/main" id="{AB6C3CD0-6971-FE74-92CC-4C729F541326}"/>
              </a:ext>
            </a:extLst>
          </xdr:cNvPr>
          <xdr:cNvSpPr/>
        </xdr:nvSpPr>
        <xdr:spPr>
          <a:xfrm>
            <a:off x="17934073" y="7567479"/>
            <a:ext cx="1380826" cy="380544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29</a:t>
            </a:r>
          </a:p>
        </xdr:txBody>
      </xdr:sp>
      <xdr:sp macro="[0]!FiltrarYCopiarDatos_RG_30" textlink="">
        <xdr:nvSpPr>
          <xdr:cNvPr id="159" name="Rectángulo: esquinas redondeadas 158">
            <a:extLst>
              <a:ext uri="{FF2B5EF4-FFF2-40B4-BE49-F238E27FC236}">
                <a16:creationId xmlns:a16="http://schemas.microsoft.com/office/drawing/2014/main" id="{5ACDB6DA-0EF6-CC8C-7F9B-34232382F2C3}"/>
              </a:ext>
            </a:extLst>
          </xdr:cNvPr>
          <xdr:cNvSpPr/>
        </xdr:nvSpPr>
        <xdr:spPr>
          <a:xfrm>
            <a:off x="17929272" y="8036887"/>
            <a:ext cx="1380826" cy="394132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30</a:t>
            </a:r>
          </a:p>
        </xdr:txBody>
      </xdr:sp>
      <xdr:sp macro="[0]!FiltrarYCopiarDatos_RG_23" textlink="">
        <xdr:nvSpPr>
          <xdr:cNvPr id="145" name="Rectángulo: esquinas redondeadas 144">
            <a:extLst>
              <a:ext uri="{FF2B5EF4-FFF2-40B4-BE49-F238E27FC236}">
                <a16:creationId xmlns:a16="http://schemas.microsoft.com/office/drawing/2014/main" id="{4A0AC5F9-AB68-B878-DFCC-89769DBCAD00}"/>
              </a:ext>
            </a:extLst>
          </xdr:cNvPr>
          <xdr:cNvSpPr/>
        </xdr:nvSpPr>
        <xdr:spPr>
          <a:xfrm>
            <a:off x="17935674" y="4683516"/>
            <a:ext cx="1380826" cy="405359"/>
          </a:xfrm>
          <a:prstGeom prst="roundRect">
            <a:avLst>
              <a:gd name="adj" fmla="val 50000"/>
            </a:avLst>
          </a:prstGeom>
          <a:grpFill/>
          <a:ln w="19050">
            <a:solidFill>
              <a:srgbClr val="0070C0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tx1"/>
                </a:solidFill>
                <a:latin typeface="Abadi" panose="020B0604020104020204" pitchFamily="34" charset="0"/>
              </a:rPr>
              <a:t>ASIENTO 23</a:t>
            </a:r>
          </a:p>
        </xdr:txBody>
      </xdr:sp>
    </xdr:grpSp>
    <xdr:clientData/>
  </xdr:twoCellAnchor>
  <xdr:twoCellAnchor>
    <xdr:from>
      <xdr:col>9</xdr:col>
      <xdr:colOff>381001</xdr:colOff>
      <xdr:row>14</xdr:row>
      <xdr:rowOff>40821</xdr:rowOff>
    </xdr:from>
    <xdr:to>
      <xdr:col>16</xdr:col>
      <xdr:colOff>312964</xdr:colOff>
      <xdr:row>18</xdr:row>
      <xdr:rowOff>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2FAAAE9-4002-4B54-8313-3BA47DC5F038}"/>
            </a:ext>
          </a:extLst>
        </xdr:cNvPr>
        <xdr:cNvSpPr/>
      </xdr:nvSpPr>
      <xdr:spPr>
        <a:xfrm>
          <a:off x="14205858" y="2707821"/>
          <a:ext cx="5265963" cy="1115786"/>
        </a:xfrm>
        <a:prstGeom prst="roundRect">
          <a:avLst>
            <a:gd name="adj" fmla="val 15766"/>
          </a:avLst>
        </a:prstGeom>
        <a:solidFill>
          <a:schemeClr val="bg1"/>
        </a:solidFill>
        <a:ln w="57150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518312</xdr:colOff>
      <xdr:row>14</xdr:row>
      <xdr:rowOff>168233</xdr:rowOff>
    </xdr:from>
    <xdr:to>
      <xdr:col>16</xdr:col>
      <xdr:colOff>190500</xdr:colOff>
      <xdr:row>16</xdr:row>
      <xdr:rowOff>24769</xdr:rowOff>
    </xdr:to>
    <xdr:sp macro="[0]!BORR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AEE07075-9B16-4D44-88DF-C1559DECC1D1}"/>
            </a:ext>
          </a:extLst>
        </xdr:cNvPr>
        <xdr:cNvSpPr/>
      </xdr:nvSpPr>
      <xdr:spPr>
        <a:xfrm>
          <a:off x="14343169" y="2835233"/>
          <a:ext cx="5006188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rgbClr val="0070C0"/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tx1"/>
              </a:solidFill>
              <a:latin typeface="Abadi" panose="020B0604020104020204" pitchFamily="34" charset="0"/>
            </a:rPr>
            <a:t>BORRAR DATOS</a:t>
          </a:r>
        </a:p>
      </xdr:txBody>
    </xdr:sp>
    <xdr:clientData/>
  </xdr:twoCellAnchor>
  <xdr:twoCellAnchor>
    <xdr:from>
      <xdr:col>9</xdr:col>
      <xdr:colOff>507084</xdr:colOff>
      <xdr:row>16</xdr:row>
      <xdr:rowOff>151834</xdr:rowOff>
    </xdr:from>
    <xdr:to>
      <xdr:col>16</xdr:col>
      <xdr:colOff>190499</xdr:colOff>
      <xdr:row>17</xdr:row>
      <xdr:rowOff>198869</xdr:rowOff>
    </xdr:to>
    <xdr:sp macro="[0]!FiltrarAsientoRD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4773EA8C-BE60-4096-ACC6-72BA52A939CE}"/>
            </a:ext>
          </a:extLst>
        </xdr:cNvPr>
        <xdr:cNvSpPr/>
      </xdr:nvSpPr>
      <xdr:spPr>
        <a:xfrm>
          <a:off x="14331941" y="3322298"/>
          <a:ext cx="5017415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rgbClr val="0070C0"/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tx1"/>
              </a:solidFill>
              <a:latin typeface="Abadi" panose="020B0604020104020204" pitchFamily="34" charset="0"/>
            </a:rPr>
            <a:t>RD</a:t>
          </a:r>
        </a:p>
      </xdr:txBody>
    </xdr:sp>
    <xdr:clientData/>
  </xdr:twoCellAnchor>
  <xdr:twoCellAnchor editAs="absolute">
    <xdr:from>
      <xdr:col>0</xdr:col>
      <xdr:colOff>81642</xdr:colOff>
      <xdr:row>8</xdr:row>
      <xdr:rowOff>95251</xdr:rowOff>
    </xdr:from>
    <xdr:to>
      <xdr:col>0</xdr:col>
      <xdr:colOff>1948180</xdr:colOff>
      <xdr:row>30</xdr:row>
      <xdr:rowOff>10180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AC1FFB18-08CD-43D7-8648-CEE31873C5E0}"/>
            </a:ext>
          </a:extLst>
        </xdr:cNvPr>
        <xdr:cNvGrpSpPr/>
      </xdr:nvGrpSpPr>
      <xdr:grpSpPr>
        <a:xfrm>
          <a:off x="81642" y="1619251"/>
          <a:ext cx="1866538" cy="5861250"/>
          <a:chOff x="79284" y="1614246"/>
          <a:chExt cx="1866538" cy="5725179"/>
        </a:xfrm>
        <a:solidFill>
          <a:srgbClr val="0070C0"/>
        </a:solidFill>
      </xdr:grpSpPr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FA29F805-7092-752D-A908-461CA1820F19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  <a:grpFill/>
        </xdr:grpSpPr>
        <xdr:sp macro="[0]!ray" textlink="">
          <xdr:nvSpPr>
            <xdr:cNvPr id="8" name="Rectángulo: esquinas redondeadas 7">
              <a:extLst>
                <a:ext uri="{FF2B5EF4-FFF2-40B4-BE49-F238E27FC236}">
                  <a16:creationId xmlns:a16="http://schemas.microsoft.com/office/drawing/2014/main" id="{E48262A3-005F-723B-5097-9D9A997B7CE1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13" name="Rectángulo: esquinas redondeadas 12">
              <a:extLst>
                <a:ext uri="{FF2B5EF4-FFF2-40B4-BE49-F238E27FC236}">
                  <a16:creationId xmlns:a16="http://schemas.microsoft.com/office/drawing/2014/main" id="{9F87522E-4F99-F1EE-DF11-64B0D3584E99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14" name="Rectángulo: esquinas redondeadas 13">
              <a:extLst>
                <a:ext uri="{FF2B5EF4-FFF2-40B4-BE49-F238E27FC236}">
                  <a16:creationId xmlns:a16="http://schemas.microsoft.com/office/drawing/2014/main" id="{D15CD57C-A70E-E68B-527C-DEBDCDF81732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15" name="Rectángulo: esquinas redondeadas 14">
              <a:extLst>
                <a:ext uri="{FF2B5EF4-FFF2-40B4-BE49-F238E27FC236}">
                  <a16:creationId xmlns:a16="http://schemas.microsoft.com/office/drawing/2014/main" id="{A0E39369-577D-2378-7DFF-CEF6A6F71E5E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rgbClr val="0070C0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tx1"/>
                  </a:solidFill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16" name="Rectángulo: esquinas redondeadas 15">
              <a:extLst>
                <a:ext uri="{FF2B5EF4-FFF2-40B4-BE49-F238E27FC236}">
                  <a16:creationId xmlns:a16="http://schemas.microsoft.com/office/drawing/2014/main" id="{772C793F-2D3A-43DE-567F-3BEB9167FEC1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17" name="Rectángulo: esquinas redondeadas 16">
              <a:extLst>
                <a:ext uri="{FF2B5EF4-FFF2-40B4-BE49-F238E27FC236}">
                  <a16:creationId xmlns:a16="http://schemas.microsoft.com/office/drawing/2014/main" id="{22B73E5D-5D8F-0B77-646B-12F64BD185A1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18" name="Rectángulo: esquinas redondeadas 17">
              <a:extLst>
                <a:ext uri="{FF2B5EF4-FFF2-40B4-BE49-F238E27FC236}">
                  <a16:creationId xmlns:a16="http://schemas.microsoft.com/office/drawing/2014/main" id="{D38F5ADA-4EE0-B4F0-AE0E-62B364BAD450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75E27EFC-498E-F75B-EEFF-D8BC4D5FB6F3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92D3A803-E837-5B16-FC34-27D308C7339F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30" name="Rectángulo: esquinas redondeadas 29">
              <a:extLst>
                <a:ext uri="{FF2B5EF4-FFF2-40B4-BE49-F238E27FC236}">
                  <a16:creationId xmlns:a16="http://schemas.microsoft.com/office/drawing/2014/main" id="{25C9F4BE-ECA3-C407-E281-1D8C2CFF9E16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54C3DD7D-B985-7DCA-A9B9-A8FC8A5A223E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grpFill/>
          <a:ln w="19050">
            <a:solidFill>
              <a:schemeClr val="bg1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108857</xdr:colOff>
      <xdr:row>7</xdr:row>
      <xdr:rowOff>168088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B1358A1F-8338-43EE-82FC-AA159E74C582}"/>
            </a:ext>
          </a:extLst>
        </xdr:cNvPr>
        <xdr:cNvGrpSpPr/>
      </xdr:nvGrpSpPr>
      <xdr:grpSpPr>
        <a:xfrm>
          <a:off x="0" y="0"/>
          <a:ext cx="20029714" cy="1501588"/>
          <a:chOff x="0" y="0"/>
          <a:chExt cx="20029714" cy="1501588"/>
        </a:xfrm>
      </xdr:grpSpPr>
      <xdr:grpSp>
        <xdr:nvGrpSpPr>
          <xdr:cNvPr id="31" name="Grupo 30">
            <a:extLst>
              <a:ext uri="{FF2B5EF4-FFF2-40B4-BE49-F238E27FC236}">
                <a16:creationId xmlns:a16="http://schemas.microsoft.com/office/drawing/2014/main" id="{1A5CFDFA-1A23-65C9-6702-F55ED4230FC5}"/>
              </a:ext>
            </a:extLst>
          </xdr:cNvPr>
          <xdr:cNvGrpSpPr/>
        </xdr:nvGrpSpPr>
        <xdr:grpSpPr>
          <a:xfrm>
            <a:off x="0" y="0"/>
            <a:ext cx="20029714" cy="1501588"/>
            <a:chOff x="0" y="0"/>
            <a:chExt cx="19992730" cy="1501588"/>
          </a:xfrm>
        </xdr:grpSpPr>
        <xdr:sp macro="" textlink="">
          <xdr:nvSpPr>
            <xdr:cNvPr id="36" name="Paralelogramo 35">
              <a:extLst>
                <a:ext uri="{FF2B5EF4-FFF2-40B4-BE49-F238E27FC236}">
                  <a16:creationId xmlns:a16="http://schemas.microsoft.com/office/drawing/2014/main" id="{43241C64-04AF-58C6-0B9D-37B247B0E2C4}"/>
                </a:ext>
              </a:extLst>
            </xdr:cNvPr>
            <xdr:cNvSpPr/>
          </xdr:nvSpPr>
          <xdr:spPr>
            <a:xfrm>
              <a:off x="0" y="0"/>
              <a:ext cx="19992730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38" name="Rectángulo 37">
              <a:extLst>
                <a:ext uri="{FF2B5EF4-FFF2-40B4-BE49-F238E27FC236}">
                  <a16:creationId xmlns:a16="http://schemas.microsoft.com/office/drawing/2014/main" id="{17CA6E30-BF31-0C92-C3C1-3735F3FE4110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</xdr:grpSp>
      <xdr:pic>
        <xdr:nvPicPr>
          <xdr:cNvPr id="35" name="Imagen 34">
            <a:extLst>
              <a:ext uri="{FF2B5EF4-FFF2-40B4-BE49-F238E27FC236}">
                <a16:creationId xmlns:a16="http://schemas.microsoft.com/office/drawing/2014/main" id="{F4AD5EB2-38FB-3B0A-EC97-EECFF11105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286500" y="68037"/>
            <a:ext cx="4435928" cy="1406366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33276</xdr:colOff>
      <xdr:row>5</xdr:row>
      <xdr:rowOff>77487</xdr:rowOff>
    </xdr:from>
    <xdr:to>
      <xdr:col>6</xdr:col>
      <xdr:colOff>3156858</xdr:colOff>
      <xdr:row>12</xdr:row>
      <xdr:rowOff>69583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91194B0-DF95-8CDF-E947-B78D421BB969}"/>
            </a:ext>
          </a:extLst>
        </xdr:cNvPr>
        <xdr:cNvGrpSpPr/>
      </xdr:nvGrpSpPr>
      <xdr:grpSpPr>
        <a:xfrm>
          <a:off x="3856883" y="1029987"/>
          <a:ext cx="9940761" cy="1325596"/>
          <a:chOff x="3982347" y="1285244"/>
          <a:chExt cx="5498226" cy="1247056"/>
        </a:xfrm>
      </xdr:grpSpPr>
      <xdr:sp macro="" textlink="">
        <xdr:nvSpPr>
          <xdr:cNvPr id="39" name="Rectángulo: esquinas redondeadas 38">
            <a:extLst>
              <a:ext uri="{FF2B5EF4-FFF2-40B4-BE49-F238E27FC236}">
                <a16:creationId xmlns:a16="http://schemas.microsoft.com/office/drawing/2014/main" id="{26CB8404-2B09-A06F-4DAF-933A59D7536F}"/>
              </a:ext>
            </a:extLst>
          </xdr:cNvPr>
          <xdr:cNvSpPr/>
        </xdr:nvSpPr>
        <xdr:spPr>
          <a:xfrm>
            <a:off x="4332520" y="1285244"/>
            <a:ext cx="4888907" cy="1247056"/>
          </a:xfrm>
          <a:prstGeom prst="roundRect">
            <a:avLst>
              <a:gd name="adj" fmla="val 32796"/>
            </a:avLst>
          </a:prstGeom>
          <a:solidFill>
            <a:srgbClr val="0070C0"/>
          </a:soli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40" name="CuadroTexto 39">
            <a:extLst>
              <a:ext uri="{FF2B5EF4-FFF2-40B4-BE49-F238E27FC236}">
                <a16:creationId xmlns:a16="http://schemas.microsoft.com/office/drawing/2014/main" id="{CCE60C1D-1EE5-BE1E-1C55-19541F4863FA}"/>
              </a:ext>
            </a:extLst>
          </xdr:cNvPr>
          <xdr:cNvSpPr txBox="1"/>
        </xdr:nvSpPr>
        <xdr:spPr>
          <a:xfrm>
            <a:off x="3982347" y="1808799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ESTADO DE RESULTADOS</a:t>
            </a:r>
          </a:p>
        </xdr:txBody>
      </xdr:sp>
    </xdr:grpSp>
    <xdr:clientData/>
  </xdr:twoCellAnchor>
  <xdr:twoCellAnchor editAs="absolute">
    <xdr:from>
      <xdr:col>5</xdr:col>
      <xdr:colOff>2226427</xdr:colOff>
      <xdr:row>13</xdr:row>
      <xdr:rowOff>108252</xdr:rowOff>
    </xdr:from>
    <xdr:to>
      <xdr:col>6</xdr:col>
      <xdr:colOff>2396133</xdr:colOff>
      <xdr:row>15</xdr:row>
      <xdr:rowOff>15252</xdr:rowOff>
    </xdr:to>
    <xdr:sp macro="[0]!Datos2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98B5F406-D46A-4867-B1F9-0DB87FE50524}"/>
            </a:ext>
          </a:extLst>
        </xdr:cNvPr>
        <xdr:cNvSpPr/>
      </xdr:nvSpPr>
      <xdr:spPr>
        <a:xfrm>
          <a:off x="10526784" y="2584752"/>
          <a:ext cx="2510135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rgbClr val="0070C0"/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100" b="1">
              <a:solidFill>
                <a:schemeClr val="tx1"/>
              </a:solidFill>
              <a:latin typeface="Abadi" panose="020B0604020104020204" pitchFamily="34" charset="0"/>
            </a:rPr>
            <a:t>CALCULAR</a:t>
          </a:r>
        </a:p>
      </xdr:txBody>
    </xdr:sp>
    <xdr:clientData/>
  </xdr:twoCellAnchor>
  <xdr:twoCellAnchor editAs="absolute">
    <xdr:from>
      <xdr:col>3</xdr:col>
      <xdr:colOff>937982</xdr:colOff>
      <xdr:row>13</xdr:row>
      <xdr:rowOff>81038</xdr:rowOff>
    </xdr:from>
    <xdr:to>
      <xdr:col>4</xdr:col>
      <xdr:colOff>95657</xdr:colOff>
      <xdr:row>14</xdr:row>
      <xdr:rowOff>178538</xdr:rowOff>
    </xdr:to>
    <xdr:sp macro="[0]!BORRADO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E1B90A62-F85C-495F-9038-DB1D903220BD}"/>
            </a:ext>
          </a:extLst>
        </xdr:cNvPr>
        <xdr:cNvSpPr/>
      </xdr:nvSpPr>
      <xdr:spPr>
        <a:xfrm>
          <a:off x="4761589" y="2557538"/>
          <a:ext cx="2518639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rgbClr val="0070C0"/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100" b="1">
              <a:solidFill>
                <a:schemeClr val="tx1"/>
              </a:solidFill>
              <a:latin typeface="Abadi" panose="020B0604020104020204" pitchFamily="34" charset="0"/>
            </a:rPr>
            <a:t>BORRAR DATOS</a:t>
          </a:r>
        </a:p>
      </xdr:txBody>
    </xdr:sp>
    <xdr:clientData/>
  </xdr:twoCellAnchor>
  <xdr:twoCellAnchor editAs="absolute">
    <xdr:from>
      <xdr:col>4</xdr:col>
      <xdr:colOff>474885</xdr:colOff>
      <xdr:row>13</xdr:row>
      <xdr:rowOff>88597</xdr:rowOff>
    </xdr:from>
    <xdr:to>
      <xdr:col>5</xdr:col>
      <xdr:colOff>1876377</xdr:colOff>
      <xdr:row>14</xdr:row>
      <xdr:rowOff>186097</xdr:rowOff>
    </xdr:to>
    <xdr:sp macro="[0]!CrearTablaDinam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DACA22A-3B35-4D0D-84A6-055B5E4A82C7}"/>
            </a:ext>
          </a:extLst>
        </xdr:cNvPr>
        <xdr:cNvSpPr/>
      </xdr:nvSpPr>
      <xdr:spPr>
        <a:xfrm>
          <a:off x="7659456" y="2565097"/>
          <a:ext cx="2517278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rgbClr val="0070C0"/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100" b="1">
              <a:solidFill>
                <a:schemeClr val="tx1"/>
              </a:solidFill>
              <a:latin typeface="Abadi" panose="020B0604020104020204" pitchFamily="34" charset="0"/>
            </a:rPr>
            <a:t>ACTUALIZAR</a:t>
          </a:r>
        </a:p>
      </xdr:txBody>
    </xdr:sp>
    <xdr:clientData/>
  </xdr:twoCellAnchor>
  <xdr:twoCellAnchor editAs="absolute">
    <xdr:from>
      <xdr:col>0</xdr:col>
      <xdr:colOff>81642</xdr:colOff>
      <xdr:row>8</xdr:row>
      <xdr:rowOff>95253</xdr:rowOff>
    </xdr:from>
    <xdr:to>
      <xdr:col>0</xdr:col>
      <xdr:colOff>1948180</xdr:colOff>
      <xdr:row>36</xdr:row>
      <xdr:rowOff>10182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DE1B822E-B112-4FFE-92F4-15C8B7AA9CEB}"/>
            </a:ext>
          </a:extLst>
        </xdr:cNvPr>
        <xdr:cNvGrpSpPr/>
      </xdr:nvGrpSpPr>
      <xdr:grpSpPr>
        <a:xfrm>
          <a:off x="81642" y="1619253"/>
          <a:ext cx="1866538" cy="5766000"/>
          <a:chOff x="79284" y="1614246"/>
          <a:chExt cx="1866538" cy="5725179"/>
        </a:xfrm>
        <a:solidFill>
          <a:srgbClr val="0070C0"/>
        </a:solidFill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C977194E-54A9-124F-5470-E397879B2A1D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  <a:grpFill/>
        </xdr:grpSpPr>
        <xdr:sp macro="[0]!ray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C4BD12AD-40C5-A913-7B59-9E31A156A516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25" name="Rectángulo: esquinas redondeadas 24">
              <a:extLst>
                <a:ext uri="{FF2B5EF4-FFF2-40B4-BE49-F238E27FC236}">
                  <a16:creationId xmlns:a16="http://schemas.microsoft.com/office/drawing/2014/main" id="{E3DD9C4A-811A-1CB8-54FA-9E2D66499217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26" name="Rectángulo: esquinas redondeadas 25">
              <a:extLst>
                <a:ext uri="{FF2B5EF4-FFF2-40B4-BE49-F238E27FC236}">
                  <a16:creationId xmlns:a16="http://schemas.microsoft.com/office/drawing/2014/main" id="{73329A78-A682-D742-B801-D5A2228ADCE6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54510958-E299-5F56-0922-D58B0245D889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1E96FFB6-8386-1C7E-617C-AF81BAB597C3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rgbClr val="0070C0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tx1"/>
                  </a:solidFill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solidFill>
                    <a:schemeClr val="tx1"/>
                  </a:solidFill>
                  <a:latin typeface="Abadi" panose="020B0604020104020204" pitchFamily="34" charset="0"/>
                </a:rPr>
                <a:t> DE RESULTADOS</a:t>
              </a:r>
              <a:endParaRPr lang="es-MX" sz="1200" b="0">
                <a:solidFill>
                  <a:schemeClr val="tx1"/>
                </a:solidFill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F225EB7E-162B-A315-035C-11CE1139047A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30" name="Rectángulo: esquinas redondeadas 29">
              <a:extLst>
                <a:ext uri="{FF2B5EF4-FFF2-40B4-BE49-F238E27FC236}">
                  <a16:creationId xmlns:a16="http://schemas.microsoft.com/office/drawing/2014/main" id="{83127C7F-26F9-3049-BA07-467C9E2279D4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31" name="Rectángulo: esquinas redondeadas 30">
              <a:extLst>
                <a:ext uri="{FF2B5EF4-FFF2-40B4-BE49-F238E27FC236}">
                  <a16:creationId xmlns:a16="http://schemas.microsoft.com/office/drawing/2014/main" id="{15C5F35D-5E55-CC60-DA7A-573E200C4C94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32" name="Rectángulo: esquinas redondeadas 31">
              <a:extLst>
                <a:ext uri="{FF2B5EF4-FFF2-40B4-BE49-F238E27FC236}">
                  <a16:creationId xmlns:a16="http://schemas.microsoft.com/office/drawing/2014/main" id="{3529E4C4-3075-FE42-A68E-119A23ED5942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33" name="Rectángulo: esquinas redondeadas 32">
              <a:extLst>
                <a:ext uri="{FF2B5EF4-FFF2-40B4-BE49-F238E27FC236}">
                  <a16:creationId xmlns:a16="http://schemas.microsoft.com/office/drawing/2014/main" id="{77603CA8-E1EC-7E37-EB5E-FD00F84C47C5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E8A02E10-90D7-FF59-2AD0-5ED2866CC1DF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grpFill/>
          <a:ln w="19050">
            <a:solidFill>
              <a:schemeClr val="bg1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775607</xdr:colOff>
      <xdr:row>7</xdr:row>
      <xdr:rowOff>168088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B93E91B7-D62B-4DDF-AE6B-D2B7B4494549}"/>
            </a:ext>
          </a:extLst>
        </xdr:cNvPr>
        <xdr:cNvGrpSpPr/>
      </xdr:nvGrpSpPr>
      <xdr:grpSpPr>
        <a:xfrm>
          <a:off x="0" y="0"/>
          <a:ext cx="15906750" cy="1501588"/>
          <a:chOff x="0" y="0"/>
          <a:chExt cx="15906750" cy="1501588"/>
        </a:xfrm>
      </xdr:grpSpPr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273743E5-F167-15C9-E630-6E14C7D2C666}"/>
              </a:ext>
            </a:extLst>
          </xdr:cNvPr>
          <xdr:cNvGrpSpPr/>
        </xdr:nvGrpSpPr>
        <xdr:grpSpPr>
          <a:xfrm>
            <a:off x="0" y="0"/>
            <a:ext cx="15906750" cy="1501588"/>
            <a:chOff x="0" y="0"/>
            <a:chExt cx="15877379" cy="1501588"/>
          </a:xfrm>
        </xdr:grpSpPr>
        <xdr:sp macro="" textlink="">
          <xdr:nvSpPr>
            <xdr:cNvPr id="10" name="Paralelogramo 9">
              <a:extLst>
                <a:ext uri="{FF2B5EF4-FFF2-40B4-BE49-F238E27FC236}">
                  <a16:creationId xmlns:a16="http://schemas.microsoft.com/office/drawing/2014/main" id="{3C164A1B-7CE7-D84F-81DB-8F996314A2E3}"/>
                </a:ext>
              </a:extLst>
            </xdr:cNvPr>
            <xdr:cNvSpPr/>
          </xdr:nvSpPr>
          <xdr:spPr>
            <a:xfrm>
              <a:off x="0" y="0"/>
              <a:ext cx="15877379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1" name="Rectángulo 10">
              <a:extLst>
                <a:ext uri="{FF2B5EF4-FFF2-40B4-BE49-F238E27FC236}">
                  <a16:creationId xmlns:a16="http://schemas.microsoft.com/office/drawing/2014/main" id="{56A16B24-9C25-3E96-A917-4AE474961950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</xdr:grpSp>
      <xdr:pic>
        <xdr:nvPicPr>
          <xdr:cNvPr id="7" name="Imagen 6">
            <a:extLst>
              <a:ext uri="{FF2B5EF4-FFF2-40B4-BE49-F238E27FC236}">
                <a16:creationId xmlns:a16="http://schemas.microsoft.com/office/drawing/2014/main" id="{4D01DA60-AEAD-B061-90E2-B365B792E5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94715" y="68037"/>
            <a:ext cx="4435928" cy="1406366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1008127</xdr:colOff>
      <xdr:row>5</xdr:row>
      <xdr:rowOff>145198</xdr:rowOff>
    </xdr:from>
    <xdr:to>
      <xdr:col>7</xdr:col>
      <xdr:colOff>544285</xdr:colOff>
      <xdr:row>12</xdr:row>
      <xdr:rowOff>47424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6E85FF7D-5504-51EC-700A-FA22451CD50C}"/>
            </a:ext>
          </a:extLst>
        </xdr:cNvPr>
        <xdr:cNvGrpSpPr/>
      </xdr:nvGrpSpPr>
      <xdr:grpSpPr>
        <a:xfrm>
          <a:off x="3824806" y="1097698"/>
          <a:ext cx="9932015" cy="1235726"/>
          <a:chOff x="3476589" y="1284282"/>
          <a:chExt cx="5498226" cy="1247056"/>
        </a:xfrm>
      </xdr:grpSpPr>
      <xdr:sp macro="" textlink="">
        <xdr:nvSpPr>
          <xdr:cNvPr id="38" name="Rectángulo: esquinas redondeadas 37">
            <a:extLst>
              <a:ext uri="{FF2B5EF4-FFF2-40B4-BE49-F238E27FC236}">
                <a16:creationId xmlns:a16="http://schemas.microsoft.com/office/drawing/2014/main" id="{2DF8C507-1AA3-54D2-7BD1-F02E15AAF9E8}"/>
              </a:ext>
            </a:extLst>
          </xdr:cNvPr>
          <xdr:cNvSpPr/>
        </xdr:nvSpPr>
        <xdr:spPr>
          <a:xfrm>
            <a:off x="3717699" y="1284282"/>
            <a:ext cx="4888907" cy="1247056"/>
          </a:xfrm>
          <a:prstGeom prst="roundRect">
            <a:avLst>
              <a:gd name="adj" fmla="val 32796"/>
            </a:avLst>
          </a:prstGeom>
          <a:solidFill>
            <a:srgbClr val="0070C0"/>
          </a:soli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22DF9A8F-E4B9-7DA9-D268-B2306E74416A}"/>
              </a:ext>
            </a:extLst>
          </xdr:cNvPr>
          <xdr:cNvSpPr txBox="1"/>
        </xdr:nvSpPr>
        <xdr:spPr>
          <a:xfrm>
            <a:off x="3476589" y="1809759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BALANCE GENERAL FINAL</a:t>
            </a:r>
          </a:p>
        </xdr:txBody>
      </xdr:sp>
    </xdr:grpSp>
    <xdr:clientData/>
  </xdr:twoCellAnchor>
  <xdr:twoCellAnchor>
    <xdr:from>
      <xdr:col>2</xdr:col>
      <xdr:colOff>1333500</xdr:colOff>
      <xdr:row>12</xdr:row>
      <xdr:rowOff>163285</xdr:rowOff>
    </xdr:from>
    <xdr:to>
      <xdr:col>3</xdr:col>
      <xdr:colOff>2226858</xdr:colOff>
      <xdr:row>14</xdr:row>
      <xdr:rowOff>81644</xdr:rowOff>
    </xdr:to>
    <xdr:sp macro="[0]!Rectángulo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C781A69-CFD0-B5F8-0909-601A0EA344FF}"/>
            </a:ext>
          </a:extLst>
        </xdr:cNvPr>
        <xdr:cNvSpPr/>
      </xdr:nvSpPr>
      <xdr:spPr>
        <a:xfrm>
          <a:off x="4150179" y="2449285"/>
          <a:ext cx="2880000" cy="299359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chemeClr val="tx1"/>
              </a:solidFill>
              <a:latin typeface="Abadi" panose="020B0604020104020204" pitchFamily="34" charset="0"/>
            </a:rPr>
            <a:t>GENERAR BALANCE GENERAL</a:t>
          </a:r>
        </a:p>
      </xdr:txBody>
    </xdr:sp>
    <xdr:clientData/>
  </xdr:twoCellAnchor>
  <xdr:twoCellAnchor>
    <xdr:from>
      <xdr:col>5</xdr:col>
      <xdr:colOff>408212</xdr:colOff>
      <xdr:row>12</xdr:row>
      <xdr:rowOff>163285</xdr:rowOff>
    </xdr:from>
    <xdr:to>
      <xdr:col>6</xdr:col>
      <xdr:colOff>1424034</xdr:colOff>
      <xdr:row>14</xdr:row>
      <xdr:rowOff>81642</xdr:rowOff>
    </xdr:to>
    <xdr:sp macro="[0]!Macro1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B744C-7E00-484F-8D74-EB061C160F1E}"/>
            </a:ext>
          </a:extLst>
        </xdr:cNvPr>
        <xdr:cNvSpPr/>
      </xdr:nvSpPr>
      <xdr:spPr>
        <a:xfrm>
          <a:off x="10205355" y="2449285"/>
          <a:ext cx="2880000" cy="299357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chemeClr val="tx1"/>
              </a:solidFill>
              <a:latin typeface="Abadi" panose="020B0604020104020204" pitchFamily="34" charset="0"/>
            </a:rPr>
            <a:t>ELIMINAR BALANCE GENERAL</a:t>
          </a:r>
        </a:p>
      </xdr:txBody>
    </xdr:sp>
    <xdr:clientData/>
  </xdr:twoCellAnchor>
  <xdr:twoCellAnchor editAs="absolute">
    <xdr:from>
      <xdr:col>0</xdr:col>
      <xdr:colOff>81642</xdr:colOff>
      <xdr:row>8</xdr:row>
      <xdr:rowOff>95251</xdr:rowOff>
    </xdr:from>
    <xdr:to>
      <xdr:col>0</xdr:col>
      <xdr:colOff>1948180</xdr:colOff>
      <xdr:row>36</xdr:row>
      <xdr:rowOff>159859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1656C25B-3325-4E89-8478-2062CE64D7AF}"/>
            </a:ext>
          </a:extLst>
        </xdr:cNvPr>
        <xdr:cNvGrpSpPr/>
      </xdr:nvGrpSpPr>
      <xdr:grpSpPr>
        <a:xfrm>
          <a:off x="81642" y="1619251"/>
          <a:ext cx="1866538" cy="5738787"/>
          <a:chOff x="79284" y="1614246"/>
          <a:chExt cx="1866538" cy="5725179"/>
        </a:xfrm>
        <a:solidFill>
          <a:srgbClr val="0070C0"/>
        </a:solidFill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ECA1FE-8363-ECC9-C545-DAEB7DCF341D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  <a:grpFill/>
        </xdr:grpSpPr>
        <xdr:sp macro="[0]!ray" textlink="">
          <xdr:nvSpPr>
            <xdr:cNvPr id="17" name="Rectángulo: esquinas redondeadas 16">
              <a:extLst>
                <a:ext uri="{FF2B5EF4-FFF2-40B4-BE49-F238E27FC236}">
                  <a16:creationId xmlns:a16="http://schemas.microsoft.com/office/drawing/2014/main" id="{BCFBD5AA-B54C-3E90-2C37-02F4857DA13F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20" name="Rectángulo: esquinas redondeadas 19">
              <a:extLst>
                <a:ext uri="{FF2B5EF4-FFF2-40B4-BE49-F238E27FC236}">
                  <a16:creationId xmlns:a16="http://schemas.microsoft.com/office/drawing/2014/main" id="{AF85EA26-0D44-C306-A517-4B1E656FB995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21" name="Rectángulo: esquinas redondeadas 20">
              <a:extLst>
                <a:ext uri="{FF2B5EF4-FFF2-40B4-BE49-F238E27FC236}">
                  <a16:creationId xmlns:a16="http://schemas.microsoft.com/office/drawing/2014/main" id="{286FDACF-80E6-59BD-037D-4571BCE253A8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E12EF3A0-FEF3-DFAA-8308-B3A9AFD2A415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5F20AFB2-C146-88F2-16A7-AEFA0277D566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62A00F64-E390-7742-A150-E6D302EB13B4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80267DF0-4ED2-B154-022D-A86850BB3766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rgbClr val="0070C0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tx1"/>
                  </a:solidFill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solidFill>
                    <a:schemeClr val="tx1"/>
                  </a:solidFill>
                  <a:latin typeface="Abadi" panose="020B0604020104020204" pitchFamily="34" charset="0"/>
                </a:rPr>
                <a:t> GENERAL FINAL</a:t>
              </a:r>
              <a:endParaRPr lang="es-MX" sz="1200" b="0">
                <a:solidFill>
                  <a:schemeClr val="tx1"/>
                </a:solidFill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F1F46431-3EAC-C393-0719-D6DDC5452883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30" name="Rectángulo: esquinas redondeadas 29">
              <a:extLst>
                <a:ext uri="{FF2B5EF4-FFF2-40B4-BE49-F238E27FC236}">
                  <a16:creationId xmlns:a16="http://schemas.microsoft.com/office/drawing/2014/main" id="{C1CDAF9B-DBC9-6277-6F2D-86E40A0391F3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31" name="Rectángulo: esquinas redondeadas 30">
              <a:extLst>
                <a:ext uri="{FF2B5EF4-FFF2-40B4-BE49-F238E27FC236}">
                  <a16:creationId xmlns:a16="http://schemas.microsoft.com/office/drawing/2014/main" id="{55F953E6-CD1B-76A6-032F-73CE651B2DC1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grpFill/>
            <a:ln w="19050">
              <a:solidFill>
                <a:schemeClr val="bg1"/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8092DD1E-1D20-617A-04E6-5442D1CF99A8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grpFill/>
          <a:ln w="19050">
            <a:solidFill>
              <a:schemeClr val="bg1"/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503464</xdr:colOff>
      <xdr:row>7</xdr:row>
      <xdr:rowOff>168088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7910A7BA-3D9F-405E-B0D2-B1FBBBA83F39}"/>
            </a:ext>
          </a:extLst>
        </xdr:cNvPr>
        <xdr:cNvGrpSpPr/>
      </xdr:nvGrpSpPr>
      <xdr:grpSpPr>
        <a:xfrm>
          <a:off x="0" y="0"/>
          <a:ext cx="15906750" cy="1501588"/>
          <a:chOff x="0" y="0"/>
          <a:chExt cx="15906750" cy="1501588"/>
        </a:xfrm>
      </xdr:grpSpPr>
      <xdr:grpSp>
        <xdr:nvGrpSpPr>
          <xdr:cNvPr id="12" name="Grupo 11">
            <a:extLst>
              <a:ext uri="{FF2B5EF4-FFF2-40B4-BE49-F238E27FC236}">
                <a16:creationId xmlns:a16="http://schemas.microsoft.com/office/drawing/2014/main" id="{C1934CBA-02F9-7E72-9F86-43A6E36690D0}"/>
              </a:ext>
            </a:extLst>
          </xdr:cNvPr>
          <xdr:cNvGrpSpPr/>
        </xdr:nvGrpSpPr>
        <xdr:grpSpPr>
          <a:xfrm>
            <a:off x="0" y="0"/>
            <a:ext cx="15906750" cy="1501588"/>
            <a:chOff x="0" y="0"/>
            <a:chExt cx="15877379" cy="1501588"/>
          </a:xfrm>
        </xdr:grpSpPr>
        <xdr:sp macro="" textlink="">
          <xdr:nvSpPr>
            <xdr:cNvPr id="14" name="Paralelogramo 13">
              <a:extLst>
                <a:ext uri="{FF2B5EF4-FFF2-40B4-BE49-F238E27FC236}">
                  <a16:creationId xmlns:a16="http://schemas.microsoft.com/office/drawing/2014/main" id="{95BA42D1-A555-9EA4-433C-0C04F2AB5B96}"/>
                </a:ext>
              </a:extLst>
            </xdr:cNvPr>
            <xdr:cNvSpPr/>
          </xdr:nvSpPr>
          <xdr:spPr>
            <a:xfrm>
              <a:off x="0" y="0"/>
              <a:ext cx="15877379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BF696481-5F58-8A3C-4D04-DF16DF8E9C87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</xdr:grpSp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9B5504E2-CAC5-54A7-4D7F-AB8036DE74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94715" y="68037"/>
            <a:ext cx="4435928" cy="1406366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1852581</xdr:colOff>
      <xdr:row>1</xdr:row>
      <xdr:rowOff>151840</xdr:rowOff>
    </xdr:from>
    <xdr:to>
      <xdr:col>17</xdr:col>
      <xdr:colOff>556944</xdr:colOff>
      <xdr:row>32</xdr:row>
      <xdr:rowOff>75870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6FBA015D-2AED-48B1-8622-A97C59C0CB70}"/>
            </a:ext>
          </a:extLst>
        </xdr:cNvPr>
        <xdr:cNvGrpSpPr/>
      </xdr:nvGrpSpPr>
      <xdr:grpSpPr>
        <a:xfrm>
          <a:off x="22341914" y="342340"/>
          <a:ext cx="1879363" cy="5829530"/>
          <a:chOff x="106498" y="1833562"/>
          <a:chExt cx="1856957" cy="5829530"/>
        </a:xfrm>
      </xdr:grpSpPr>
      <xdr:sp macro="[0]!ray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BF99B03E-B2CB-3A75-8E5F-1D50939FF19D}"/>
              </a:ext>
            </a:extLst>
          </xdr:cNvPr>
          <xdr:cNvSpPr/>
        </xdr:nvSpPr>
        <xdr:spPr>
          <a:xfrm>
            <a:off x="122481" y="4001053"/>
            <a:ext cx="1806963" cy="428955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 baseline="0">
                <a:latin typeface="Abadi" panose="020B0604020104020204" pitchFamily="34" charset="0"/>
              </a:rPr>
              <a:t>RAYADO DIARIO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esquema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7106B510-9F43-BCAC-D602-F0D97A2E0BF2}"/>
              </a:ext>
            </a:extLst>
          </xdr:cNvPr>
          <xdr:cNvSpPr/>
        </xdr:nvSpPr>
        <xdr:spPr>
          <a:xfrm>
            <a:off x="122481" y="4517158"/>
            <a:ext cx="1808863" cy="4132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ESQUEMA DE</a:t>
            </a:r>
            <a:r>
              <a:rPr lang="es-MX" sz="1200" b="0" baseline="0">
                <a:latin typeface="Abadi" panose="020B0604020104020204" pitchFamily="34" charset="0"/>
              </a:rPr>
              <a:t> MAYOR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anza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71C9D34-D411-F9E1-6183-376989A5AA59}"/>
              </a:ext>
            </a:extLst>
          </xdr:cNvPr>
          <xdr:cNvSpPr/>
        </xdr:nvSpPr>
        <xdr:spPr>
          <a:xfrm>
            <a:off x="127914" y="5025697"/>
            <a:ext cx="1808863" cy="463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BALANZA</a:t>
            </a:r>
            <a:r>
              <a:rPr lang="es-MX" sz="1200" b="0" baseline="0">
                <a:latin typeface="Abadi" panose="020B0604020104020204" pitchFamily="34" charset="0"/>
              </a:rPr>
              <a:t> DE COMPROBACIÓN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Módulo2.poliza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5D0F14F4-1641-E08B-B4DA-871FAC6E3A15}"/>
              </a:ext>
            </a:extLst>
          </xdr:cNvPr>
          <xdr:cNvSpPr/>
        </xdr:nvSpPr>
        <xdr:spPr>
          <a:xfrm>
            <a:off x="114330" y="5600975"/>
            <a:ext cx="1808863" cy="432318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PÓLIZAS</a:t>
            </a:r>
          </a:p>
        </xdr:txBody>
      </xdr:sp>
      <xdr:sp macro="[0]!estado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EF4F282C-D8ED-584D-44BF-9EB0BB718C34}"/>
              </a:ext>
            </a:extLst>
          </xdr:cNvPr>
          <xdr:cNvSpPr/>
        </xdr:nvSpPr>
        <xdr:spPr>
          <a:xfrm>
            <a:off x="106498" y="6149324"/>
            <a:ext cx="1808863" cy="467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ESTADO</a:t>
            </a:r>
            <a:r>
              <a:rPr lang="es-MX" sz="1200" b="0" baseline="0">
                <a:latin typeface="Abadi" panose="020B0604020104020204" pitchFamily="34" charset="0"/>
              </a:rPr>
              <a:t> DE RESULTADOS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i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293BAC71-86ED-3B9B-980B-7716ADA041E7}"/>
              </a:ext>
            </a:extLst>
          </xdr:cNvPr>
          <xdr:cNvSpPr/>
        </xdr:nvSpPr>
        <xdr:spPr>
          <a:xfrm>
            <a:off x="133682" y="3446738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INICIAL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GENERAL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0B2150A4-78BE-EAEE-9D98-F00B6F79A43F}"/>
              </a:ext>
            </a:extLst>
          </xdr:cNvPr>
          <xdr:cNvSpPr/>
        </xdr:nvSpPr>
        <xdr:spPr>
          <a:xfrm>
            <a:off x="135027" y="6730796"/>
            <a:ext cx="1808863" cy="442971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FINAL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" textlink="">
        <xdr:nvSpPr>
          <xdr:cNvPr id="10" name="Rectángulo: esquinas redondeadas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D0A8AC-F5C9-3F19-B1E0-2D45EED11BE2}"/>
              </a:ext>
            </a:extLst>
          </xdr:cNvPr>
          <xdr:cNvSpPr/>
        </xdr:nvSpPr>
        <xdr:spPr>
          <a:xfrm>
            <a:off x="117685" y="7263298"/>
            <a:ext cx="1808863" cy="39979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CONOCE</a:t>
            </a:r>
            <a:r>
              <a:rPr lang="es-MX" sz="1200" b="0" baseline="0">
                <a:latin typeface="Abadi" panose="020B0604020104020204" pitchFamily="34" charset="0"/>
              </a:rPr>
              <a:t> NUESTRO PLANTEL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cati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4D046011-56BE-9E51-335B-7F973746D662}"/>
              </a:ext>
            </a:extLst>
          </xdr:cNvPr>
          <xdr:cNvSpPr/>
        </xdr:nvSpPr>
        <xdr:spPr>
          <a:xfrm>
            <a:off x="144377" y="2877603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CATALOGO DE CUENTAS</a:t>
            </a:r>
          </a:p>
        </xdr:txBody>
      </xdr:sp>
      <xdr:sp macro="[0]!Módulo2.principal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F90AFD85-6017-86DD-934C-D9A5F8F11004}"/>
              </a:ext>
            </a:extLst>
          </xdr:cNvPr>
          <xdr:cNvSpPr/>
        </xdr:nvSpPr>
        <xdr:spPr>
          <a:xfrm>
            <a:off x="119064" y="1833562"/>
            <a:ext cx="1844391" cy="384657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MENÚ</a:t>
            </a:r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 PRINCIPAL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Módulo2.alta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E80BA408-045A-CD8A-B772-52AFA61BDE10}"/>
              </a:ext>
            </a:extLst>
          </xdr:cNvPr>
          <xdr:cNvSpPr/>
        </xdr:nvSpPr>
        <xdr:spPr>
          <a:xfrm>
            <a:off x="141514" y="2350522"/>
            <a:ext cx="1808863" cy="42222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ALTA DE EMPRESA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249294</xdr:colOff>
      <xdr:row>6</xdr:row>
      <xdr:rowOff>8039</xdr:rowOff>
    </xdr:from>
    <xdr:to>
      <xdr:col>14</xdr:col>
      <xdr:colOff>610283</xdr:colOff>
      <xdr:row>12</xdr:row>
      <xdr:rowOff>112095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4B527FE6-0246-EAB2-A85E-FB37DC4753D7}"/>
            </a:ext>
          </a:extLst>
        </xdr:cNvPr>
        <xdr:cNvGrpSpPr/>
      </xdr:nvGrpSpPr>
      <xdr:grpSpPr>
        <a:xfrm>
          <a:off x="4059294" y="1151039"/>
          <a:ext cx="10933739" cy="1247056"/>
          <a:chOff x="3764885" y="1151039"/>
          <a:chExt cx="8742989" cy="1247056"/>
        </a:xfrm>
      </xdr:grpSpPr>
      <xdr:sp macro="" textlink="">
        <xdr:nvSpPr>
          <xdr:cNvPr id="31" name="Rectángulo: esquinas redondeadas 30">
            <a:extLst>
              <a:ext uri="{FF2B5EF4-FFF2-40B4-BE49-F238E27FC236}">
                <a16:creationId xmlns:a16="http://schemas.microsoft.com/office/drawing/2014/main" id="{A8542712-C610-677D-CAD0-3724347FA506}"/>
              </a:ext>
            </a:extLst>
          </xdr:cNvPr>
          <xdr:cNvSpPr/>
        </xdr:nvSpPr>
        <xdr:spPr>
          <a:xfrm>
            <a:off x="3764885" y="1151039"/>
            <a:ext cx="8742989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0B9ECB0C-65BE-08FD-6D54-59443F871274}"/>
              </a:ext>
            </a:extLst>
          </xdr:cNvPr>
          <xdr:cNvSpPr txBox="1"/>
        </xdr:nvSpPr>
        <xdr:spPr>
          <a:xfrm>
            <a:off x="4786436" y="1641881"/>
            <a:ext cx="6265887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BASE DE DATOS</a:t>
            </a:r>
          </a:p>
        </xdr:txBody>
      </xdr:sp>
    </xdr:grpSp>
    <xdr:clientData/>
  </xdr:twoCellAnchor>
  <xdr:twoCellAnchor>
    <xdr:from>
      <xdr:col>3</xdr:col>
      <xdr:colOff>71438</xdr:colOff>
      <xdr:row>13</xdr:row>
      <xdr:rowOff>19730</xdr:rowOff>
    </xdr:from>
    <xdr:to>
      <xdr:col>15</xdr:col>
      <xdr:colOff>23813</xdr:colOff>
      <xdr:row>18</xdr:row>
      <xdr:rowOff>59532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9B5975E8-938E-4BBE-98A2-CDC6BE50A6C4}"/>
            </a:ext>
          </a:extLst>
        </xdr:cNvPr>
        <xdr:cNvSpPr/>
      </xdr:nvSpPr>
      <xdr:spPr>
        <a:xfrm>
          <a:off x="3881438" y="2496230"/>
          <a:ext cx="10096500" cy="992302"/>
        </a:xfrm>
        <a:prstGeom prst="roundRect">
          <a:avLst>
            <a:gd name="adj" fmla="val 32796"/>
          </a:avLst>
        </a:prstGeom>
        <a:solidFill>
          <a:srgbClr val="FFC000"/>
        </a:solidFill>
        <a:ln>
          <a:noFill/>
        </a:ln>
        <a:effectLst>
          <a:outerShdw blurRad="165100" dist="76200" dir="5400000" rotWithShape="0">
            <a:srgbClr val="000000">
              <a:alpha val="35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3600" b="1">
              <a:latin typeface="Abadi" panose="020B0604020104020204" pitchFamily="34" charset="0"/>
            </a:rPr>
            <a:t>BIENVENIDO A LA BASE DE DATOS DE CONTAEX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415637</xdr:colOff>
      <xdr:row>7</xdr:row>
      <xdr:rowOff>154446</xdr:rowOff>
    </xdr:to>
    <xdr:sp macro="" textlink="">
      <xdr:nvSpPr>
        <xdr:cNvPr id="8" name="Paralelogramo 7">
          <a:extLst>
            <a:ext uri="{FF2B5EF4-FFF2-40B4-BE49-F238E27FC236}">
              <a16:creationId xmlns:a16="http://schemas.microsoft.com/office/drawing/2014/main" id="{1EF2F9BD-34F1-4A0A-9C0B-707602BACE9C}"/>
            </a:ext>
          </a:extLst>
        </xdr:cNvPr>
        <xdr:cNvSpPr/>
      </xdr:nvSpPr>
      <xdr:spPr>
        <a:xfrm>
          <a:off x="0" y="0"/>
          <a:ext cx="15772611" cy="1441157"/>
        </a:xfrm>
        <a:prstGeom prst="parallelogram">
          <a:avLst>
            <a:gd name="adj" fmla="val 52152"/>
          </a:avLst>
        </a:prstGeom>
        <a:solidFill>
          <a:schemeClr val="bg1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1061437</xdr:colOff>
      <xdr:row>7</xdr:row>
      <xdr:rowOff>123266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32066A11-D37B-420C-92BC-C1AF4C3354AD}"/>
            </a:ext>
          </a:extLst>
        </xdr:cNvPr>
        <xdr:cNvSpPr/>
      </xdr:nvSpPr>
      <xdr:spPr>
        <a:xfrm>
          <a:off x="0" y="0"/>
          <a:ext cx="1061437" cy="1456766"/>
        </a:xfrm>
        <a:prstGeom prst="rect">
          <a:avLst/>
        </a:prstGeom>
        <a:solidFill>
          <a:schemeClr val="bg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6</xdr:col>
      <xdr:colOff>620410</xdr:colOff>
      <xdr:row>0</xdr:row>
      <xdr:rowOff>59531</xdr:rowOff>
    </xdr:from>
    <xdr:to>
      <xdr:col>10</xdr:col>
      <xdr:colOff>309562</xdr:colOff>
      <xdr:row>7</xdr:row>
      <xdr:rowOff>41043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D55F227-961E-45D6-96B9-2C2060013C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243" b="7110"/>
        <a:stretch/>
      </xdr:blipFill>
      <xdr:spPr bwMode="auto">
        <a:xfrm>
          <a:off x="6716410" y="59531"/>
          <a:ext cx="3737277" cy="1315012"/>
        </a:xfrm>
        <a:prstGeom prst="roundRect">
          <a:avLst>
            <a:gd name="adj" fmla="val 50000"/>
          </a:avLst>
        </a:prstGeom>
        <a:noFill/>
        <a:ln>
          <a:noFill/>
        </a:ln>
      </xdr:spPr>
    </xdr:pic>
    <xdr:clientData/>
  </xdr:twoCellAnchor>
  <xdr:twoCellAnchor editAs="absolute">
    <xdr:from>
      <xdr:col>0</xdr:col>
      <xdr:colOff>0</xdr:colOff>
      <xdr:row>9</xdr:row>
      <xdr:rowOff>0</xdr:rowOff>
    </xdr:from>
    <xdr:to>
      <xdr:col>0</xdr:col>
      <xdr:colOff>1866538</xdr:colOff>
      <xdr:row>39</xdr:row>
      <xdr:rowOff>114530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93236B00-6C9F-4652-8B1B-DE0DF0C8C428}"/>
            </a:ext>
          </a:extLst>
        </xdr:cNvPr>
        <xdr:cNvGrpSpPr/>
      </xdr:nvGrpSpPr>
      <xdr:grpSpPr>
        <a:xfrm>
          <a:off x="0" y="1714500"/>
          <a:ext cx="1866538" cy="5829530"/>
          <a:chOff x="106498" y="1833562"/>
          <a:chExt cx="1856957" cy="5829530"/>
        </a:xfrm>
      </xdr:grpSpPr>
      <xdr:sp macro="[0]!ray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2170601E-528F-B431-1CAE-3C6A6BA94F7A}"/>
              </a:ext>
            </a:extLst>
          </xdr:cNvPr>
          <xdr:cNvSpPr/>
        </xdr:nvSpPr>
        <xdr:spPr>
          <a:xfrm>
            <a:off x="122481" y="4001053"/>
            <a:ext cx="1806963" cy="428955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 baseline="0">
                <a:latin typeface="Abadi" panose="020B0604020104020204" pitchFamily="34" charset="0"/>
              </a:rPr>
              <a:t>RAYADO DIARIO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esquema" textlink="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E66FA299-8148-BE96-C131-90D3F0576157}"/>
              </a:ext>
            </a:extLst>
          </xdr:cNvPr>
          <xdr:cNvSpPr/>
        </xdr:nvSpPr>
        <xdr:spPr>
          <a:xfrm>
            <a:off x="122481" y="4517158"/>
            <a:ext cx="1808863" cy="4132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ESQUEMA DE</a:t>
            </a:r>
            <a:r>
              <a:rPr lang="es-MX" sz="1200" b="0" baseline="0">
                <a:latin typeface="Abadi" panose="020B0604020104020204" pitchFamily="34" charset="0"/>
              </a:rPr>
              <a:t> MAYOR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anza" textlink="">
        <xdr:nvSpPr>
          <xdr:cNvPr id="19" name="Rectángulo: esquinas redondeadas 18">
            <a:extLst>
              <a:ext uri="{FF2B5EF4-FFF2-40B4-BE49-F238E27FC236}">
                <a16:creationId xmlns:a16="http://schemas.microsoft.com/office/drawing/2014/main" id="{F7EF0C2A-ED15-6786-7DEA-3B18CE64A232}"/>
              </a:ext>
            </a:extLst>
          </xdr:cNvPr>
          <xdr:cNvSpPr/>
        </xdr:nvSpPr>
        <xdr:spPr>
          <a:xfrm>
            <a:off x="127914" y="5025697"/>
            <a:ext cx="1808863" cy="463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BALANZA</a:t>
            </a:r>
            <a:r>
              <a:rPr lang="es-MX" sz="1200" b="0" baseline="0">
                <a:latin typeface="Abadi" panose="020B0604020104020204" pitchFamily="34" charset="0"/>
              </a:rPr>
              <a:t> DE COMPROBACIÓN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Módulo2.poliza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3D83A0A6-0E73-FFEB-598A-79BE89AB8B2B}"/>
              </a:ext>
            </a:extLst>
          </xdr:cNvPr>
          <xdr:cNvSpPr/>
        </xdr:nvSpPr>
        <xdr:spPr>
          <a:xfrm>
            <a:off x="114330" y="5600975"/>
            <a:ext cx="1808863" cy="432318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PÓLIZAS</a:t>
            </a:r>
          </a:p>
        </xdr:txBody>
      </xdr:sp>
      <xdr:sp macro="[0]!estado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9AA0F467-E321-610D-41FF-D744A9F1008A}"/>
              </a:ext>
            </a:extLst>
          </xdr:cNvPr>
          <xdr:cNvSpPr/>
        </xdr:nvSpPr>
        <xdr:spPr>
          <a:xfrm>
            <a:off x="106498" y="6149324"/>
            <a:ext cx="1808863" cy="467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ESTADO</a:t>
            </a:r>
            <a:r>
              <a:rPr lang="es-MX" sz="1200" b="0" baseline="0">
                <a:latin typeface="Abadi" panose="020B0604020104020204" pitchFamily="34" charset="0"/>
              </a:rPr>
              <a:t> DE RESULTADOS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is" textlink="">
        <xdr:nvSpPr>
          <xdr:cNvPr id="23" name="Rectángulo: esquinas redondeadas 22">
            <a:extLst>
              <a:ext uri="{FF2B5EF4-FFF2-40B4-BE49-F238E27FC236}">
                <a16:creationId xmlns:a16="http://schemas.microsoft.com/office/drawing/2014/main" id="{5434529D-EB61-19A0-F7A1-02FE05682E91}"/>
              </a:ext>
            </a:extLst>
          </xdr:cNvPr>
          <xdr:cNvSpPr/>
        </xdr:nvSpPr>
        <xdr:spPr>
          <a:xfrm>
            <a:off x="133682" y="3446738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INICIAL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GENERAL" textlink="">
        <xdr:nvSpPr>
          <xdr:cNvPr id="24" name="Rectángulo: esquinas redondeadas 23">
            <a:extLst>
              <a:ext uri="{FF2B5EF4-FFF2-40B4-BE49-F238E27FC236}">
                <a16:creationId xmlns:a16="http://schemas.microsoft.com/office/drawing/2014/main" id="{2F905168-3EC9-E4EC-A133-3DF08E09CE27}"/>
              </a:ext>
            </a:extLst>
          </xdr:cNvPr>
          <xdr:cNvSpPr/>
        </xdr:nvSpPr>
        <xdr:spPr>
          <a:xfrm>
            <a:off x="135027" y="6730796"/>
            <a:ext cx="1808863" cy="442971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FINAL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" textlink="">
        <xdr:nvSpPr>
          <xdr:cNvPr id="25" name="Rectángulo: esquinas redondeadas 2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EF7686-1017-F624-8D2B-632663D65590}"/>
              </a:ext>
            </a:extLst>
          </xdr:cNvPr>
          <xdr:cNvSpPr/>
        </xdr:nvSpPr>
        <xdr:spPr>
          <a:xfrm>
            <a:off x="117685" y="7263298"/>
            <a:ext cx="1808863" cy="39979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CONOCE</a:t>
            </a:r>
            <a:r>
              <a:rPr lang="es-MX" sz="1200" b="0" baseline="0">
                <a:latin typeface="Abadi" panose="020B0604020104020204" pitchFamily="34" charset="0"/>
              </a:rPr>
              <a:t> NUESTRO PLANTEL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cati" textlink="">
        <xdr:nvSpPr>
          <xdr:cNvPr id="26" name="Rectángulo: esquinas redondeadas 25">
            <a:extLst>
              <a:ext uri="{FF2B5EF4-FFF2-40B4-BE49-F238E27FC236}">
                <a16:creationId xmlns:a16="http://schemas.microsoft.com/office/drawing/2014/main" id="{B464B674-7F68-D117-C33C-2303551A44DA}"/>
              </a:ext>
            </a:extLst>
          </xdr:cNvPr>
          <xdr:cNvSpPr/>
        </xdr:nvSpPr>
        <xdr:spPr>
          <a:xfrm>
            <a:off x="144377" y="2877603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CATALOGO DE CUENTAS</a:t>
            </a:r>
          </a:p>
        </xdr:txBody>
      </xdr:sp>
      <xdr:sp macro="[0]!Módulo2.principal" textlink="">
        <xdr:nvSpPr>
          <xdr:cNvPr id="27" name="Rectángulo: esquinas redondeadas 26">
            <a:extLst>
              <a:ext uri="{FF2B5EF4-FFF2-40B4-BE49-F238E27FC236}">
                <a16:creationId xmlns:a16="http://schemas.microsoft.com/office/drawing/2014/main" id="{80BD4508-ACB3-8D80-86B7-BA403AC40CE2}"/>
              </a:ext>
            </a:extLst>
          </xdr:cNvPr>
          <xdr:cNvSpPr/>
        </xdr:nvSpPr>
        <xdr:spPr>
          <a:xfrm>
            <a:off x="119064" y="1833562"/>
            <a:ext cx="1844391" cy="384657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MENÚ</a:t>
            </a:r>
            <a:r>
              <a:rPr lang="es-MX" sz="1200" b="0" baseline="0">
                <a:solidFill>
                  <a:schemeClr val="bg1"/>
                </a:solidFill>
                <a:latin typeface="Abadi" panose="020B0604020104020204" pitchFamily="34" charset="0"/>
              </a:rPr>
              <a:t> PRINCIPAL</a:t>
            </a:r>
            <a:endParaRPr lang="es-MX" sz="1200" b="0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  <xdr:sp macro="[0]!Módulo2.alta" textlink="">
        <xdr:nvSpPr>
          <xdr:cNvPr id="28" name="Rectángulo: esquinas redondeadas 27">
            <a:extLst>
              <a:ext uri="{FF2B5EF4-FFF2-40B4-BE49-F238E27FC236}">
                <a16:creationId xmlns:a16="http://schemas.microsoft.com/office/drawing/2014/main" id="{437768F5-1174-8DA9-6CA1-66BFFCF55FFC}"/>
              </a:ext>
            </a:extLst>
          </xdr:cNvPr>
          <xdr:cNvSpPr/>
        </xdr:nvSpPr>
        <xdr:spPr>
          <a:xfrm>
            <a:off x="141514" y="2350522"/>
            <a:ext cx="1808863" cy="42222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ALTA DE EMPRESA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392905</xdr:colOff>
      <xdr:row>7</xdr:row>
      <xdr:rowOff>142876</xdr:rowOff>
    </xdr:from>
    <xdr:to>
      <xdr:col>22</xdr:col>
      <xdr:colOff>735443</xdr:colOff>
      <xdr:row>38</xdr:row>
      <xdr:rowOff>31187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88BD0BE7-54E6-4F45-A07E-DA56070B2D04}"/>
            </a:ext>
          </a:extLst>
        </xdr:cNvPr>
        <xdr:cNvGrpSpPr/>
      </xdr:nvGrpSpPr>
      <xdr:grpSpPr>
        <a:xfrm>
          <a:off x="23729155" y="1476376"/>
          <a:ext cx="1866538" cy="5900967"/>
          <a:chOff x="106498" y="1833562"/>
          <a:chExt cx="1856957" cy="5829530"/>
        </a:xfrm>
      </xdr:grpSpPr>
      <xdr:sp macro="[0]!ray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E639EFAA-93FD-A6C0-782E-0BA3DA4180C8}"/>
              </a:ext>
            </a:extLst>
          </xdr:cNvPr>
          <xdr:cNvSpPr/>
        </xdr:nvSpPr>
        <xdr:spPr>
          <a:xfrm>
            <a:off x="122481" y="4001053"/>
            <a:ext cx="1806963" cy="428955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 baseline="0">
                <a:latin typeface="Abadi" panose="020B0604020104020204" pitchFamily="34" charset="0"/>
              </a:rPr>
              <a:t>RAYADO DIARIO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esquema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281590C2-183A-DF89-8174-7567452E5B2E}"/>
              </a:ext>
            </a:extLst>
          </xdr:cNvPr>
          <xdr:cNvSpPr/>
        </xdr:nvSpPr>
        <xdr:spPr>
          <a:xfrm>
            <a:off x="122481" y="4517158"/>
            <a:ext cx="1808863" cy="4132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ESQUEMA DE</a:t>
            </a:r>
            <a:r>
              <a:rPr lang="es-MX" sz="1200" b="0" baseline="0">
                <a:latin typeface="Abadi" panose="020B0604020104020204" pitchFamily="34" charset="0"/>
              </a:rPr>
              <a:t> MAYOR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anza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FA88662-80D1-D84C-BDA8-4C67956BFB30}"/>
              </a:ext>
            </a:extLst>
          </xdr:cNvPr>
          <xdr:cNvSpPr/>
        </xdr:nvSpPr>
        <xdr:spPr>
          <a:xfrm>
            <a:off x="127914" y="5025697"/>
            <a:ext cx="1808863" cy="463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BALANZA</a:t>
            </a:r>
            <a:r>
              <a:rPr lang="es-MX" sz="1200" b="0" baseline="0">
                <a:latin typeface="Abadi" panose="020B0604020104020204" pitchFamily="34" charset="0"/>
              </a:rPr>
              <a:t> DE COMPROBACIÓN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Módulo2.poliza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7CBD96E3-99AA-E787-2AE7-1D4AB62A7C26}"/>
              </a:ext>
            </a:extLst>
          </xdr:cNvPr>
          <xdr:cNvSpPr/>
        </xdr:nvSpPr>
        <xdr:spPr>
          <a:xfrm>
            <a:off x="114330" y="5600975"/>
            <a:ext cx="1808863" cy="432318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PÓLIZAS</a:t>
            </a:r>
          </a:p>
        </xdr:txBody>
      </xdr:sp>
      <xdr:sp macro="[0]!estado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9C1C2404-6D07-677F-37B6-6333D049BC85}"/>
              </a:ext>
            </a:extLst>
          </xdr:cNvPr>
          <xdr:cNvSpPr/>
        </xdr:nvSpPr>
        <xdr:spPr>
          <a:xfrm>
            <a:off x="106498" y="6149324"/>
            <a:ext cx="1808863" cy="467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ESTADO</a:t>
            </a:r>
            <a:r>
              <a:rPr lang="es-MX" sz="1200" b="0" baseline="0">
                <a:latin typeface="Abadi" panose="020B0604020104020204" pitchFamily="34" charset="0"/>
              </a:rPr>
              <a:t> DE RESULTADOS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i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308FD749-DC66-A1BA-F248-C6183F78125D}"/>
              </a:ext>
            </a:extLst>
          </xdr:cNvPr>
          <xdr:cNvSpPr/>
        </xdr:nvSpPr>
        <xdr:spPr>
          <a:xfrm>
            <a:off x="133682" y="3446738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INICIAL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GENERAL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51E4DE2A-683B-BF42-7C65-86B13407935A}"/>
              </a:ext>
            </a:extLst>
          </xdr:cNvPr>
          <xdr:cNvSpPr/>
        </xdr:nvSpPr>
        <xdr:spPr>
          <a:xfrm>
            <a:off x="135027" y="6730796"/>
            <a:ext cx="1808863" cy="442971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FINAL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" textlink="">
        <xdr:nvSpPr>
          <xdr:cNvPr id="10" name="Rectángulo: esquinas redondeadas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12CC609-A702-6565-1192-FDD9A96A9BBB}"/>
              </a:ext>
            </a:extLst>
          </xdr:cNvPr>
          <xdr:cNvSpPr/>
        </xdr:nvSpPr>
        <xdr:spPr>
          <a:xfrm>
            <a:off x="117685" y="7263298"/>
            <a:ext cx="1808863" cy="39979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CONOCE</a:t>
            </a:r>
            <a:r>
              <a:rPr lang="es-MX" sz="1200" b="0" baseline="0">
                <a:latin typeface="Abadi" panose="020B0604020104020204" pitchFamily="34" charset="0"/>
              </a:rPr>
              <a:t> NUESTRO PLANTEL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cati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0F3A36D0-19ED-E1CC-1747-D2FAFDCCFD09}"/>
              </a:ext>
            </a:extLst>
          </xdr:cNvPr>
          <xdr:cNvSpPr/>
        </xdr:nvSpPr>
        <xdr:spPr>
          <a:xfrm>
            <a:off x="144377" y="2877603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CATALOGO DE CUENTAS</a:t>
            </a:r>
          </a:p>
        </xdr:txBody>
      </xdr:sp>
      <xdr:sp macro="[0]!Módulo2.principal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31508D5D-1B5C-9F49-1520-631F0812BA56}"/>
              </a:ext>
            </a:extLst>
          </xdr:cNvPr>
          <xdr:cNvSpPr/>
        </xdr:nvSpPr>
        <xdr:spPr>
          <a:xfrm>
            <a:off x="119064" y="1833562"/>
            <a:ext cx="1844391" cy="384657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MENÚ</a:t>
            </a:r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 PRINCIPAL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Módulo2.alta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64CDC7D8-E386-BEAB-3553-AB0F99C788DD}"/>
              </a:ext>
            </a:extLst>
          </xdr:cNvPr>
          <xdr:cNvSpPr/>
        </xdr:nvSpPr>
        <xdr:spPr>
          <a:xfrm>
            <a:off x="141514" y="2350522"/>
            <a:ext cx="1808863" cy="42222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ALTA DE EMPRESA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" refreshedDate="45945.763214583334" createdVersion="3" refreshedVersion="8" minRefreshableVersion="3" recordCount="25" xr:uid="{E8D43FCE-DD10-450A-9623-D19CD308BE03}">
  <cacheSource type="worksheet">
    <worksheetSource ref="C17:K42" sheet="RAYADO DIARIO"/>
  </cacheSource>
  <cacheFields count="9">
    <cacheField name="FECHA" numFmtId="14">
      <sharedItems containsSemiMixedTypes="0" containsNonDate="0" containsDate="1" containsString="0" minDate="2025-03-17T00:00:00" maxDate="2025-03-19T00:00:00"/>
    </cacheField>
    <cacheField name="ASIENTO" numFmtId="0">
      <sharedItems containsMixedTypes="1" containsNumber="1" containsInteger="1" minValue="2" maxValue="12"/>
    </cacheField>
    <cacheField name="No. CTA" numFmtId="0">
      <sharedItems containsSemiMixedTypes="0" containsString="0" containsNumber="1" minValue="100.01" maxValue="501" count="12">
        <n v="100.01"/>
        <n v="102"/>
        <n v="300"/>
        <n v="115"/>
        <n v="202"/>
        <n v="156"/>
        <n v="201"/>
        <n v="105"/>
        <n v="401"/>
        <n v="501"/>
        <n v="154"/>
        <n v="305"/>
      </sharedItems>
    </cacheField>
    <cacheField name="CUENTAS" numFmtId="0">
      <sharedItems count="12">
        <s v="Activo a corto plazo"/>
        <s v="Bancos"/>
        <s v="Capital contable"/>
        <s v="Inventario"/>
        <s v="Cuentas por pagar a corto plazo"/>
        <s v="Equipo de cómputo"/>
        <s v="Proveedores"/>
        <s v="Clientes"/>
        <s v="Ingresos"/>
        <s v="Costo de venta y/o servicio"/>
        <s v="Automóviles, autobuses, camiones de carga, tractocamiones, montacargas y remolques"/>
        <s v="Resultado del ejercicio"/>
      </sharedItems>
    </cacheField>
    <cacheField name="TIPO CUENTA" numFmtId="0">
      <sharedItems count="6">
        <s v="ACTIVOS CIRCULANTE"/>
        <s v="CAPITAL"/>
        <s v="PASIVOS"/>
        <s v="ACTIVOS FIJOS"/>
        <s v="INGRESOS"/>
        <s v="COSTOS"/>
      </sharedItems>
    </cacheField>
    <cacheField name="DEBE" numFmtId="165">
      <sharedItems containsString="0" containsBlank="1" containsNumber="1" containsInteger="1" minValue="10000" maxValue="100000"/>
    </cacheField>
    <cacheField name="HABER" numFmtId="165">
      <sharedItems containsString="0" containsBlank="1" containsNumber="1" containsInteger="1" minValue="10000" maxValue="100000"/>
    </cacheField>
    <cacheField name="TIPO DE PÓLIZA" numFmtId="165">
      <sharedItems containsNonDate="0" containsString="0" containsBlank="1"/>
    </cacheField>
    <cacheField name="CONCEPTO" numFmtId="165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d v="2025-03-17T00:00:00"/>
    <s v="RD"/>
    <x v="0"/>
    <x v="0"/>
    <x v="0"/>
    <m/>
    <m/>
    <m/>
    <m/>
  </r>
  <r>
    <d v="2025-03-17T00:00:00"/>
    <s v="RD"/>
    <x v="1"/>
    <x v="1"/>
    <x v="0"/>
    <n v="100000"/>
    <m/>
    <m/>
    <m/>
  </r>
  <r>
    <d v="2025-03-17T00:00:00"/>
    <s v="RD"/>
    <x v="2"/>
    <x v="2"/>
    <x v="1"/>
    <m/>
    <n v="100000"/>
    <m/>
    <m/>
  </r>
  <r>
    <d v="2025-03-17T00:00:00"/>
    <n v="2"/>
    <x v="3"/>
    <x v="3"/>
    <x v="0"/>
    <n v="30000"/>
    <m/>
    <m/>
    <m/>
  </r>
  <r>
    <d v="2025-03-17T00:00:00"/>
    <n v="2"/>
    <x v="1"/>
    <x v="1"/>
    <x v="0"/>
    <m/>
    <n v="30000"/>
    <m/>
    <m/>
  </r>
  <r>
    <d v="2025-03-17T00:00:00"/>
    <n v="3"/>
    <x v="3"/>
    <x v="3"/>
    <x v="0"/>
    <n v="50000"/>
    <m/>
    <m/>
    <m/>
  </r>
  <r>
    <d v="2025-03-17T00:00:00"/>
    <n v="3"/>
    <x v="3"/>
    <x v="3"/>
    <x v="0"/>
    <m/>
    <n v="50000"/>
    <m/>
    <m/>
  </r>
  <r>
    <d v="2025-03-17T00:00:00"/>
    <n v="4"/>
    <x v="1"/>
    <x v="1"/>
    <x v="0"/>
    <n v="10000"/>
    <m/>
    <m/>
    <m/>
  </r>
  <r>
    <d v="2025-03-18T00:00:00"/>
    <n v="4"/>
    <x v="4"/>
    <x v="4"/>
    <x v="2"/>
    <m/>
    <n v="10000"/>
    <m/>
    <m/>
  </r>
  <r>
    <d v="2025-03-17T00:00:00"/>
    <n v="5"/>
    <x v="5"/>
    <x v="5"/>
    <x v="3"/>
    <n v="15000"/>
    <m/>
    <m/>
    <m/>
  </r>
  <r>
    <d v="2025-03-17T00:00:00"/>
    <n v="5"/>
    <x v="1"/>
    <x v="1"/>
    <x v="0"/>
    <m/>
    <n v="15000"/>
    <m/>
    <m/>
  </r>
  <r>
    <d v="2025-03-17T00:00:00"/>
    <n v="6"/>
    <x v="6"/>
    <x v="6"/>
    <x v="2"/>
    <n v="50000"/>
    <m/>
    <m/>
    <m/>
  </r>
  <r>
    <d v="2025-03-17T00:00:00"/>
    <n v="6"/>
    <x v="1"/>
    <x v="1"/>
    <x v="0"/>
    <m/>
    <n v="50000"/>
    <m/>
    <m/>
  </r>
  <r>
    <d v="2025-03-17T00:00:00"/>
    <n v="7"/>
    <x v="7"/>
    <x v="7"/>
    <x v="0"/>
    <n v="25000"/>
    <m/>
    <m/>
    <m/>
  </r>
  <r>
    <d v="2025-03-17T00:00:00"/>
    <n v="7"/>
    <x v="8"/>
    <x v="8"/>
    <x v="4"/>
    <m/>
    <n v="25000"/>
    <m/>
    <m/>
  </r>
  <r>
    <d v="2025-03-17T00:00:00"/>
    <n v="8"/>
    <x v="9"/>
    <x v="9"/>
    <x v="5"/>
    <n v="100000"/>
    <m/>
    <m/>
    <m/>
  </r>
  <r>
    <d v="2025-03-17T00:00:00"/>
    <n v="8"/>
    <x v="3"/>
    <x v="3"/>
    <x v="0"/>
    <m/>
    <n v="100000"/>
    <m/>
    <m/>
  </r>
  <r>
    <d v="2025-03-17T00:00:00"/>
    <n v="9"/>
    <x v="10"/>
    <x v="10"/>
    <x v="3"/>
    <n v="50000"/>
    <m/>
    <m/>
    <m/>
  </r>
  <r>
    <d v="2025-03-17T00:00:00"/>
    <n v="9"/>
    <x v="1"/>
    <x v="1"/>
    <x v="0"/>
    <m/>
    <n v="50000"/>
    <m/>
    <m/>
  </r>
  <r>
    <d v="2025-03-17T00:00:00"/>
    <n v="10"/>
    <x v="8"/>
    <x v="8"/>
    <x v="4"/>
    <n v="25000"/>
    <m/>
    <m/>
    <m/>
  </r>
  <r>
    <d v="2025-03-17T00:00:00"/>
    <n v="10"/>
    <x v="11"/>
    <x v="11"/>
    <x v="1"/>
    <m/>
    <n v="25000"/>
    <m/>
    <m/>
  </r>
  <r>
    <d v="2025-03-17T00:00:00"/>
    <n v="11"/>
    <x v="11"/>
    <x v="11"/>
    <x v="1"/>
    <n v="25000"/>
    <m/>
    <m/>
    <m/>
  </r>
  <r>
    <d v="2025-03-17T00:00:00"/>
    <n v="11"/>
    <x v="9"/>
    <x v="9"/>
    <x v="5"/>
    <m/>
    <n v="25000"/>
    <m/>
    <m/>
  </r>
  <r>
    <d v="2025-03-17T00:00:00"/>
    <n v="12"/>
    <x v="11"/>
    <x v="11"/>
    <x v="1"/>
    <m/>
    <m/>
    <m/>
    <m/>
  </r>
  <r>
    <d v="2025-03-17T00:00:00"/>
    <n v="12"/>
    <x v="9"/>
    <x v="9"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1524BF-4CB4-4323-8C03-E905EAD56401}" name="TablaDinamica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1:E5" firstHeaderRow="1" firstDataRow="2" firstDataCol="3"/>
  <pivotFields count="9">
    <pivotField compact="0" numFmtId="14" outline="0" showAll="0"/>
    <pivotField compact="0" outline="0" showAll="0"/>
    <pivotField axis="axisRow" compact="0" outline="0" showAll="0" defaultSubtotal="0">
      <items count="12">
        <item x="0"/>
        <item x="1"/>
        <item x="7"/>
        <item x="3"/>
        <item x="10"/>
        <item x="5"/>
        <item x="6"/>
        <item x="4"/>
        <item x="2"/>
        <item x="11"/>
        <item x="8"/>
        <item x="9"/>
      </items>
    </pivotField>
    <pivotField axis="axisRow" compact="0" outline="0" showAll="0" defaultSubtotal="0">
      <items count="12">
        <item x="0"/>
        <item x="10"/>
        <item x="1"/>
        <item x="2"/>
        <item x="7"/>
        <item x="9"/>
        <item x="4"/>
        <item x="5"/>
        <item x="8"/>
        <item x="3"/>
        <item x="6"/>
        <item x="11"/>
      </items>
    </pivotField>
    <pivotField axis="axisRow" compact="0" outline="0" showAll="0">
      <items count="7">
        <item h="1" x="0"/>
        <item h="1" x="3"/>
        <item h="1" x="1"/>
        <item h="1" x="5"/>
        <item h="1" x="4"/>
        <item x="2"/>
        <item t="default"/>
      </items>
    </pivotField>
    <pivotField dataField="1" compact="0" outline="0" showAll="0"/>
    <pivotField dataField="1" compact="0" outline="0" showAll="0"/>
    <pivotField compact="0" outline="0" showAll="0"/>
    <pivotField compact="0" outline="0" showAll="0"/>
  </pivotFields>
  <rowFields count="3">
    <field x="2"/>
    <field x="3"/>
    <field x="4"/>
  </rowFields>
  <rowItems count="3">
    <i>
      <x v="6"/>
      <x v="10"/>
      <x v="5"/>
    </i>
    <i>
      <x v="7"/>
      <x v="6"/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DEBE" fld="5" baseField="0" baseItem="0"/>
    <dataField name="Suma de HABER" fld="6" baseField="0" baseItem="0"/>
  </dataFields>
  <pivotTableStyleInfo name="PivotStyleMedium4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C15:I60" totalsRowShown="0" headerRowDxfId="15" dataDxfId="13" headerRowBorderDxfId="14" tableBorderDxfId="12">
  <tableColumns count="7">
    <tableColumn id="1" xr3:uid="{00000000-0010-0000-0000-000001000000}" name="Columna1" dataDxfId="11"/>
    <tableColumn id="2" xr3:uid="{00000000-0010-0000-0000-000002000000}" name="Columna2" dataDxfId="10">
      <calculatedColumnFormula>IFERROR(VLOOKUP(C16,'CATALOGO DE CUENTAS GENERAL'!$D$16:E1121,2,TRUE),"")</calculatedColumnFormula>
    </tableColumn>
    <tableColumn id="3" xr3:uid="{00000000-0010-0000-0000-000003000000}" name="Columna3" dataDxfId="9"/>
    <tableColumn id="4" xr3:uid="{00000000-0010-0000-0000-000004000000}" name="Columna4" dataDxfId="8"/>
    <tableColumn id="5" xr3:uid="{00000000-0010-0000-0000-000005000000}" name="Columna5" dataDxfId="7"/>
    <tableColumn id="6" xr3:uid="{00000000-0010-0000-0000-000006000000}" name="Columna6" dataDxfId="6"/>
    <tableColumn id="7" xr3:uid="{00000000-0010-0000-0000-000007000000}" name="Columna7" dataDxfId="5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a:spPr>
      <a:bodyPr rtlCol="0" anchor="ctr"/>
      <a:lstStyle>
        <a:defPPr algn="l">
          <a:defRPr sz="11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82302E"/>
  </sheetPr>
  <dimension ref="A1:O22"/>
  <sheetViews>
    <sheetView tabSelected="1" zoomScale="70" zoomScaleNormal="70" workbookViewId="0">
      <selection activeCell="P13" sqref="P13"/>
    </sheetView>
  </sheetViews>
  <sheetFormatPr baseColWidth="10" defaultRowHeight="15" x14ac:dyDescent="0.25"/>
  <cols>
    <col min="1" max="1" width="30.7109375" style="74" customWidth="1"/>
    <col min="2" max="2" width="10.7109375" style="6" customWidth="1"/>
    <col min="3" max="16384" width="11.42578125" style="6"/>
  </cols>
  <sheetData>
    <row r="1" spans="1:1" ht="15" customHeight="1" x14ac:dyDescent="0.5">
      <c r="A1" s="73"/>
    </row>
    <row r="2" spans="1:1" ht="15" customHeight="1" x14ac:dyDescent="0.5">
      <c r="A2" s="73"/>
    </row>
    <row r="22" spans="15:15" x14ac:dyDescent="0.25">
      <c r="O22" s="72"/>
    </row>
  </sheetData>
  <sheetProtection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82302E"/>
  </sheetPr>
  <dimension ref="A12:L460"/>
  <sheetViews>
    <sheetView zoomScale="70" zoomScaleNormal="70" workbookViewId="0">
      <selection activeCell="F17" sqref="F17"/>
    </sheetView>
  </sheetViews>
  <sheetFormatPr baseColWidth="10" defaultRowHeight="15" x14ac:dyDescent="0.25"/>
  <cols>
    <col min="1" max="1" width="30.7109375" style="74" customWidth="1"/>
    <col min="2" max="2" width="7.7109375" style="6" customWidth="1"/>
    <col min="3" max="3" width="41" style="75" customWidth="1"/>
    <col min="4" max="4" width="60.7109375" style="81" customWidth="1"/>
    <col min="5" max="5" width="8" style="6" customWidth="1"/>
    <col min="6" max="6" width="40.5703125" style="6" customWidth="1"/>
    <col min="7" max="7" width="60.7109375" style="6" customWidth="1"/>
    <col min="8" max="8" width="45.7109375" style="6" customWidth="1"/>
    <col min="9" max="9" width="60.7109375" style="6" customWidth="1"/>
    <col min="10" max="10" width="11.42578125" style="6"/>
    <col min="11" max="11" width="46.7109375" style="6" customWidth="1"/>
    <col min="12" max="12" width="60.7109375" style="6" customWidth="1"/>
    <col min="13" max="16384" width="11.42578125" style="6"/>
  </cols>
  <sheetData>
    <row r="12" spans="3:5" x14ac:dyDescent="0.25">
      <c r="C12" s="6"/>
      <c r="D12" s="6"/>
    </row>
    <row r="13" spans="3:5" x14ac:dyDescent="0.25">
      <c r="C13" s="6"/>
      <c r="D13" s="6"/>
    </row>
    <row r="14" spans="3:5" x14ac:dyDescent="0.25">
      <c r="C14" s="6"/>
      <c r="D14" s="6"/>
    </row>
    <row r="15" spans="3:5" x14ac:dyDescent="0.25">
      <c r="C15" s="6"/>
      <c r="D15" s="6"/>
    </row>
    <row r="16" spans="3:5" ht="30" customHeight="1" x14ac:dyDescent="0.25">
      <c r="C16" s="211" t="s">
        <v>806</v>
      </c>
      <c r="D16" s="211"/>
      <c r="E16" s="75"/>
    </row>
    <row r="17" spans="1:12" ht="30" customHeight="1" x14ac:dyDescent="0.25">
      <c r="C17" s="76" t="s">
        <v>805</v>
      </c>
      <c r="D17" s="44"/>
      <c r="G17" s="77"/>
    </row>
    <row r="18" spans="1:12" ht="30" customHeight="1" x14ac:dyDescent="0.25">
      <c r="C18" s="76" t="s">
        <v>13</v>
      </c>
      <c r="D18" s="45"/>
      <c r="G18" s="78"/>
    </row>
    <row r="19" spans="1:12" ht="30" customHeight="1" x14ac:dyDescent="0.25">
      <c r="C19" s="76" t="s">
        <v>804</v>
      </c>
      <c r="D19" s="45"/>
      <c r="G19" s="77"/>
    </row>
    <row r="20" spans="1:12" ht="30" customHeight="1" x14ac:dyDescent="0.25">
      <c r="C20" s="79"/>
      <c r="D20" s="80"/>
      <c r="G20" s="77"/>
    </row>
    <row r="21" spans="1:12" ht="30" customHeight="1" x14ac:dyDescent="0.25">
      <c r="G21" s="77"/>
    </row>
    <row r="22" spans="1:12" ht="30" customHeight="1" x14ac:dyDescent="0.25">
      <c r="I22" s="77"/>
    </row>
    <row r="23" spans="1:12" ht="30" customHeight="1" x14ac:dyDescent="0.25">
      <c r="C23" s="211" t="s">
        <v>813</v>
      </c>
      <c r="D23" s="211"/>
      <c r="F23" s="212"/>
      <c r="G23" s="212"/>
      <c r="H23" s="212"/>
      <c r="I23" s="78"/>
    </row>
    <row r="24" spans="1:12" ht="30" customHeight="1" x14ac:dyDescent="0.25">
      <c r="C24" s="82" t="s">
        <v>810</v>
      </c>
      <c r="D24" s="59"/>
      <c r="E24" s="83"/>
      <c r="F24" s="84"/>
      <c r="G24" s="84"/>
      <c r="H24" s="84"/>
      <c r="I24" s="77"/>
    </row>
    <row r="25" spans="1:12" s="85" customFormat="1" ht="30" customHeight="1" x14ac:dyDescent="0.25">
      <c r="A25" s="88"/>
      <c r="C25" s="82" t="s">
        <v>13</v>
      </c>
      <c r="D25" s="59"/>
      <c r="E25" s="83"/>
      <c r="F25" s="77"/>
      <c r="G25" s="6"/>
      <c r="H25" s="6"/>
      <c r="K25" s="6"/>
      <c r="L25" s="6"/>
    </row>
    <row r="26" spans="1:12" ht="30" customHeight="1" x14ac:dyDescent="0.25">
      <c r="C26" s="82" t="s">
        <v>814</v>
      </c>
      <c r="D26" s="59"/>
      <c r="F26" s="86"/>
    </row>
    <row r="27" spans="1:12" ht="30" customHeight="1" x14ac:dyDescent="0.25">
      <c r="F27" s="86"/>
    </row>
    <row r="28" spans="1:12" ht="30" customHeight="1" x14ac:dyDescent="0.25">
      <c r="E28" s="58"/>
      <c r="F28" s="87"/>
    </row>
    <row r="29" spans="1:12" x14ac:dyDescent="0.25">
      <c r="E29" s="210"/>
      <c r="F29" s="210"/>
    </row>
    <row r="30" spans="1:12" x14ac:dyDescent="0.25">
      <c r="F30" s="86"/>
    </row>
    <row r="31" spans="1:12" x14ac:dyDescent="0.25">
      <c r="F31" s="86"/>
    </row>
    <row r="32" spans="1:12" x14ac:dyDescent="0.25">
      <c r="F32" s="86"/>
    </row>
    <row r="33" spans="6:6" x14ac:dyDescent="0.25">
      <c r="F33" s="86"/>
    </row>
    <row r="34" spans="6:6" x14ac:dyDescent="0.25">
      <c r="F34" s="86"/>
    </row>
    <row r="35" spans="6:6" x14ac:dyDescent="0.25">
      <c r="F35" s="86"/>
    </row>
    <row r="36" spans="6:6" x14ac:dyDescent="0.25">
      <c r="F36" s="86"/>
    </row>
    <row r="37" spans="6:6" x14ac:dyDescent="0.25">
      <c r="F37" s="86"/>
    </row>
    <row r="38" spans="6:6" x14ac:dyDescent="0.25">
      <c r="F38" s="86"/>
    </row>
    <row r="39" spans="6:6" x14ac:dyDescent="0.25">
      <c r="F39" s="86"/>
    </row>
    <row r="40" spans="6:6" x14ac:dyDescent="0.25">
      <c r="F40" s="86"/>
    </row>
    <row r="41" spans="6:6" x14ac:dyDescent="0.25">
      <c r="F41" s="86"/>
    </row>
    <row r="42" spans="6:6" x14ac:dyDescent="0.25">
      <c r="F42" s="86"/>
    </row>
    <row r="43" spans="6:6" x14ac:dyDescent="0.25">
      <c r="F43" s="86"/>
    </row>
    <row r="44" spans="6:6" x14ac:dyDescent="0.25">
      <c r="F44" s="86"/>
    </row>
    <row r="45" spans="6:6" x14ac:dyDescent="0.25">
      <c r="F45" s="86"/>
    </row>
    <row r="46" spans="6:6" x14ac:dyDescent="0.25">
      <c r="F46" s="86"/>
    </row>
    <row r="47" spans="6:6" x14ac:dyDescent="0.25">
      <c r="F47" s="86"/>
    </row>
    <row r="48" spans="6:6" x14ac:dyDescent="0.25">
      <c r="F48" s="86"/>
    </row>
    <row r="49" spans="6:6" x14ac:dyDescent="0.25">
      <c r="F49" s="86"/>
    </row>
    <row r="50" spans="6:6" x14ac:dyDescent="0.25">
      <c r="F50" s="86"/>
    </row>
    <row r="51" spans="6:6" x14ac:dyDescent="0.25">
      <c r="F51" s="86"/>
    </row>
    <row r="52" spans="6:6" x14ac:dyDescent="0.25">
      <c r="F52" s="86"/>
    </row>
    <row r="53" spans="6:6" x14ac:dyDescent="0.25">
      <c r="F53" s="86"/>
    </row>
    <row r="54" spans="6:6" x14ac:dyDescent="0.25">
      <c r="F54" s="86"/>
    </row>
    <row r="55" spans="6:6" x14ac:dyDescent="0.25">
      <c r="F55" s="86"/>
    </row>
    <row r="56" spans="6:6" x14ac:dyDescent="0.25">
      <c r="F56" s="86"/>
    </row>
    <row r="57" spans="6:6" x14ac:dyDescent="0.25">
      <c r="F57" s="86"/>
    </row>
    <row r="58" spans="6:6" x14ac:dyDescent="0.25">
      <c r="F58" s="86"/>
    </row>
    <row r="59" spans="6:6" x14ac:dyDescent="0.25">
      <c r="F59" s="86"/>
    </row>
    <row r="60" spans="6:6" x14ac:dyDescent="0.25">
      <c r="F60" s="86"/>
    </row>
    <row r="61" spans="6:6" x14ac:dyDescent="0.25">
      <c r="F61" s="86"/>
    </row>
    <row r="62" spans="6:6" x14ac:dyDescent="0.25">
      <c r="F62" s="86"/>
    </row>
    <row r="63" spans="6:6" x14ac:dyDescent="0.25">
      <c r="F63" s="86"/>
    </row>
    <row r="64" spans="6:6" x14ac:dyDescent="0.25">
      <c r="F64" s="86"/>
    </row>
    <row r="65" spans="6:6" x14ac:dyDescent="0.25">
      <c r="F65" s="86"/>
    </row>
    <row r="66" spans="6:6" x14ac:dyDescent="0.25">
      <c r="F66" s="86"/>
    </row>
    <row r="67" spans="6:6" x14ac:dyDescent="0.25">
      <c r="F67" s="86"/>
    </row>
    <row r="68" spans="6:6" x14ac:dyDescent="0.25">
      <c r="F68" s="86"/>
    </row>
    <row r="69" spans="6:6" x14ac:dyDescent="0.25">
      <c r="F69" s="86"/>
    </row>
    <row r="70" spans="6:6" x14ac:dyDescent="0.25">
      <c r="F70" s="86"/>
    </row>
    <row r="71" spans="6:6" x14ac:dyDescent="0.25">
      <c r="F71" s="86"/>
    </row>
    <row r="72" spans="6:6" x14ac:dyDescent="0.25">
      <c r="F72" s="86"/>
    </row>
    <row r="73" spans="6:6" x14ac:dyDescent="0.25">
      <c r="F73" s="86"/>
    </row>
    <row r="74" spans="6:6" x14ac:dyDescent="0.25">
      <c r="F74" s="86"/>
    </row>
    <row r="75" spans="6:6" x14ac:dyDescent="0.25">
      <c r="F75" s="86"/>
    </row>
    <row r="76" spans="6:6" x14ac:dyDescent="0.25">
      <c r="F76" s="86"/>
    </row>
    <row r="77" spans="6:6" x14ac:dyDescent="0.25">
      <c r="F77" s="86"/>
    </row>
    <row r="78" spans="6:6" x14ac:dyDescent="0.25">
      <c r="F78" s="86"/>
    </row>
    <row r="79" spans="6:6" x14ac:dyDescent="0.25">
      <c r="F79" s="86"/>
    </row>
    <row r="80" spans="6:6" x14ac:dyDescent="0.25">
      <c r="F80" s="86"/>
    </row>
    <row r="81" spans="6:6" x14ac:dyDescent="0.25">
      <c r="F81" s="86"/>
    </row>
    <row r="82" spans="6:6" x14ac:dyDescent="0.25">
      <c r="F82" s="86"/>
    </row>
    <row r="83" spans="6:6" x14ac:dyDescent="0.25">
      <c r="F83" s="86"/>
    </row>
    <row r="84" spans="6:6" x14ac:dyDescent="0.25">
      <c r="F84" s="86"/>
    </row>
    <row r="85" spans="6:6" x14ac:dyDescent="0.25">
      <c r="F85" s="86"/>
    </row>
    <row r="86" spans="6:6" x14ac:dyDescent="0.25">
      <c r="F86" s="86"/>
    </row>
    <row r="87" spans="6:6" x14ac:dyDescent="0.25">
      <c r="F87" s="86"/>
    </row>
    <row r="88" spans="6:6" x14ac:dyDescent="0.25">
      <c r="F88" s="86"/>
    </row>
    <row r="89" spans="6:6" x14ac:dyDescent="0.25">
      <c r="F89" s="86"/>
    </row>
    <row r="90" spans="6:6" x14ac:dyDescent="0.25">
      <c r="F90" s="86"/>
    </row>
    <row r="91" spans="6:6" x14ac:dyDescent="0.25">
      <c r="F91" s="86"/>
    </row>
    <row r="92" spans="6:6" x14ac:dyDescent="0.25">
      <c r="F92" s="86"/>
    </row>
    <row r="93" spans="6:6" x14ac:dyDescent="0.25">
      <c r="F93" s="86"/>
    </row>
    <row r="94" spans="6:6" x14ac:dyDescent="0.25">
      <c r="F94" s="86"/>
    </row>
    <row r="95" spans="6:6" x14ac:dyDescent="0.25">
      <c r="F95" s="86"/>
    </row>
    <row r="96" spans="6:6" x14ac:dyDescent="0.25">
      <c r="F96" s="86"/>
    </row>
    <row r="97" spans="6:6" x14ac:dyDescent="0.25">
      <c r="F97" s="86"/>
    </row>
    <row r="98" spans="6:6" x14ac:dyDescent="0.25">
      <c r="F98" s="86"/>
    </row>
    <row r="99" spans="6:6" x14ac:dyDescent="0.25">
      <c r="F99" s="86"/>
    </row>
    <row r="100" spans="6:6" x14ac:dyDescent="0.25">
      <c r="F100" s="86"/>
    </row>
    <row r="101" spans="6:6" x14ac:dyDescent="0.25">
      <c r="F101" s="86"/>
    </row>
    <row r="102" spans="6:6" x14ac:dyDescent="0.25">
      <c r="F102" s="86"/>
    </row>
    <row r="103" spans="6:6" x14ac:dyDescent="0.25">
      <c r="F103" s="86"/>
    </row>
    <row r="104" spans="6:6" x14ac:dyDescent="0.25">
      <c r="F104" s="86"/>
    </row>
    <row r="105" spans="6:6" x14ac:dyDescent="0.25">
      <c r="F105" s="86"/>
    </row>
    <row r="106" spans="6:6" x14ac:dyDescent="0.25">
      <c r="F106" s="86"/>
    </row>
    <row r="107" spans="6:6" x14ac:dyDescent="0.25">
      <c r="F107" s="86"/>
    </row>
    <row r="108" spans="6:6" x14ac:dyDescent="0.25">
      <c r="F108" s="86"/>
    </row>
    <row r="109" spans="6:6" x14ac:dyDescent="0.25">
      <c r="F109" s="86"/>
    </row>
    <row r="110" spans="6:6" x14ac:dyDescent="0.25">
      <c r="F110" s="86"/>
    </row>
    <row r="111" spans="6:6" x14ac:dyDescent="0.25">
      <c r="F111" s="86"/>
    </row>
    <row r="112" spans="6:6" x14ac:dyDescent="0.25">
      <c r="F112" s="86"/>
    </row>
    <row r="113" spans="6:6" x14ac:dyDescent="0.25">
      <c r="F113" s="86"/>
    </row>
    <row r="114" spans="6:6" x14ac:dyDescent="0.25">
      <c r="F114" s="86"/>
    </row>
    <row r="115" spans="6:6" x14ac:dyDescent="0.25">
      <c r="F115" s="86"/>
    </row>
    <row r="116" spans="6:6" x14ac:dyDescent="0.25">
      <c r="F116" s="86"/>
    </row>
    <row r="117" spans="6:6" x14ac:dyDescent="0.25">
      <c r="F117" s="86"/>
    </row>
    <row r="118" spans="6:6" x14ac:dyDescent="0.25">
      <c r="F118" s="86"/>
    </row>
    <row r="119" spans="6:6" x14ac:dyDescent="0.25">
      <c r="F119" s="86"/>
    </row>
    <row r="120" spans="6:6" x14ac:dyDescent="0.25">
      <c r="F120" s="86"/>
    </row>
    <row r="121" spans="6:6" x14ac:dyDescent="0.25">
      <c r="F121" s="86"/>
    </row>
    <row r="122" spans="6:6" x14ac:dyDescent="0.25">
      <c r="F122" s="86"/>
    </row>
    <row r="123" spans="6:6" x14ac:dyDescent="0.25">
      <c r="F123" s="86"/>
    </row>
    <row r="124" spans="6:6" x14ac:dyDescent="0.25">
      <c r="F124" s="86"/>
    </row>
    <row r="125" spans="6:6" x14ac:dyDescent="0.25">
      <c r="F125" s="86"/>
    </row>
    <row r="126" spans="6:6" x14ac:dyDescent="0.25">
      <c r="F126" s="86"/>
    </row>
    <row r="127" spans="6:6" x14ac:dyDescent="0.25">
      <c r="F127" s="86"/>
    </row>
    <row r="128" spans="6:6" x14ac:dyDescent="0.25">
      <c r="F128" s="86"/>
    </row>
    <row r="129" spans="6:6" x14ac:dyDescent="0.25">
      <c r="F129" s="86"/>
    </row>
    <row r="130" spans="6:6" x14ac:dyDescent="0.25">
      <c r="F130" s="86"/>
    </row>
    <row r="131" spans="6:6" x14ac:dyDescent="0.25">
      <c r="F131" s="86"/>
    </row>
    <row r="132" spans="6:6" x14ac:dyDescent="0.25">
      <c r="F132" s="86"/>
    </row>
    <row r="133" spans="6:6" x14ac:dyDescent="0.25">
      <c r="F133" s="86"/>
    </row>
    <row r="134" spans="6:6" x14ac:dyDescent="0.25">
      <c r="F134" s="86"/>
    </row>
    <row r="135" spans="6:6" x14ac:dyDescent="0.25">
      <c r="F135" s="86"/>
    </row>
    <row r="136" spans="6:6" x14ac:dyDescent="0.25">
      <c r="F136" s="86"/>
    </row>
    <row r="137" spans="6:6" x14ac:dyDescent="0.25">
      <c r="F137" s="86"/>
    </row>
    <row r="138" spans="6:6" x14ac:dyDescent="0.25">
      <c r="F138" s="86"/>
    </row>
    <row r="139" spans="6:6" x14ac:dyDescent="0.25">
      <c r="F139" s="86"/>
    </row>
    <row r="140" spans="6:6" x14ac:dyDescent="0.25">
      <c r="F140" s="86"/>
    </row>
    <row r="141" spans="6:6" x14ac:dyDescent="0.25">
      <c r="F141" s="86"/>
    </row>
    <row r="142" spans="6:6" x14ac:dyDescent="0.25">
      <c r="F142" s="86"/>
    </row>
    <row r="143" spans="6:6" x14ac:dyDescent="0.25">
      <c r="F143" s="86"/>
    </row>
    <row r="144" spans="6:6" x14ac:dyDescent="0.25">
      <c r="F144" s="86"/>
    </row>
    <row r="145" spans="6:6" x14ac:dyDescent="0.25">
      <c r="F145" s="86"/>
    </row>
    <row r="146" spans="6:6" x14ac:dyDescent="0.25">
      <c r="F146" s="86"/>
    </row>
    <row r="147" spans="6:6" x14ac:dyDescent="0.25">
      <c r="F147" s="86"/>
    </row>
    <row r="148" spans="6:6" x14ac:dyDescent="0.25">
      <c r="F148" s="86"/>
    </row>
    <row r="149" spans="6:6" x14ac:dyDescent="0.25">
      <c r="F149" s="86"/>
    </row>
    <row r="150" spans="6:6" x14ac:dyDescent="0.25">
      <c r="F150" s="86"/>
    </row>
    <row r="151" spans="6:6" x14ac:dyDescent="0.25">
      <c r="F151" s="86"/>
    </row>
    <row r="152" spans="6:6" x14ac:dyDescent="0.25">
      <c r="F152" s="86"/>
    </row>
    <row r="153" spans="6:6" x14ac:dyDescent="0.25">
      <c r="F153" s="86"/>
    </row>
    <row r="154" spans="6:6" x14ac:dyDescent="0.25">
      <c r="F154" s="86"/>
    </row>
    <row r="155" spans="6:6" x14ac:dyDescent="0.25">
      <c r="F155" s="86"/>
    </row>
    <row r="156" spans="6:6" x14ac:dyDescent="0.25">
      <c r="F156" s="86"/>
    </row>
    <row r="157" spans="6:6" x14ac:dyDescent="0.25">
      <c r="F157" s="86"/>
    </row>
    <row r="158" spans="6:6" x14ac:dyDescent="0.25">
      <c r="F158" s="86"/>
    </row>
    <row r="159" spans="6:6" x14ac:dyDescent="0.25">
      <c r="F159" s="86"/>
    </row>
    <row r="160" spans="6:6" x14ac:dyDescent="0.25">
      <c r="F160" s="86"/>
    </row>
    <row r="161" spans="6:6" x14ac:dyDescent="0.25">
      <c r="F161" s="86"/>
    </row>
    <row r="162" spans="6:6" x14ac:dyDescent="0.25">
      <c r="F162" s="86"/>
    </row>
    <row r="163" spans="6:6" x14ac:dyDescent="0.25">
      <c r="F163" s="86"/>
    </row>
    <row r="164" spans="6:6" x14ac:dyDescent="0.25">
      <c r="F164" s="86"/>
    </row>
    <row r="165" spans="6:6" x14ac:dyDescent="0.25">
      <c r="F165" s="86"/>
    </row>
    <row r="166" spans="6:6" x14ac:dyDescent="0.25">
      <c r="F166" s="86"/>
    </row>
    <row r="167" spans="6:6" x14ac:dyDescent="0.25">
      <c r="F167" s="86"/>
    </row>
    <row r="168" spans="6:6" x14ac:dyDescent="0.25">
      <c r="F168" s="86"/>
    </row>
    <row r="169" spans="6:6" x14ac:dyDescent="0.25">
      <c r="F169" s="86"/>
    </row>
    <row r="170" spans="6:6" x14ac:dyDescent="0.25">
      <c r="F170" s="86"/>
    </row>
    <row r="171" spans="6:6" x14ac:dyDescent="0.25">
      <c r="F171" s="86"/>
    </row>
    <row r="172" spans="6:6" x14ac:dyDescent="0.25">
      <c r="F172" s="86"/>
    </row>
    <row r="173" spans="6:6" x14ac:dyDescent="0.25">
      <c r="F173" s="86"/>
    </row>
    <row r="174" spans="6:6" x14ac:dyDescent="0.25">
      <c r="F174" s="86"/>
    </row>
    <row r="175" spans="6:6" x14ac:dyDescent="0.25">
      <c r="F175" s="86"/>
    </row>
    <row r="176" spans="6:6" x14ac:dyDescent="0.25">
      <c r="F176" s="86"/>
    </row>
    <row r="177" spans="6:6" x14ac:dyDescent="0.25">
      <c r="F177" s="86"/>
    </row>
    <row r="178" spans="6:6" x14ac:dyDescent="0.25">
      <c r="F178" s="86"/>
    </row>
    <row r="179" spans="6:6" x14ac:dyDescent="0.25">
      <c r="F179" s="86"/>
    </row>
    <row r="180" spans="6:6" x14ac:dyDescent="0.25">
      <c r="F180" s="86"/>
    </row>
    <row r="181" spans="6:6" x14ac:dyDescent="0.25">
      <c r="F181" s="86"/>
    </row>
    <row r="182" spans="6:6" x14ac:dyDescent="0.25">
      <c r="F182" s="86"/>
    </row>
    <row r="183" spans="6:6" x14ac:dyDescent="0.25">
      <c r="F183" s="86"/>
    </row>
    <row r="184" spans="6:6" x14ac:dyDescent="0.25">
      <c r="F184" s="86"/>
    </row>
    <row r="185" spans="6:6" x14ac:dyDescent="0.25">
      <c r="F185" s="86"/>
    </row>
    <row r="186" spans="6:6" x14ac:dyDescent="0.25">
      <c r="F186" s="86"/>
    </row>
    <row r="187" spans="6:6" x14ac:dyDescent="0.25">
      <c r="F187" s="86"/>
    </row>
    <row r="188" spans="6:6" x14ac:dyDescent="0.25">
      <c r="F188" s="86"/>
    </row>
    <row r="189" spans="6:6" x14ac:dyDescent="0.25">
      <c r="F189" s="86"/>
    </row>
    <row r="190" spans="6:6" x14ac:dyDescent="0.25">
      <c r="F190" s="86"/>
    </row>
    <row r="191" spans="6:6" x14ac:dyDescent="0.25">
      <c r="F191" s="86"/>
    </row>
    <row r="192" spans="6:6" x14ac:dyDescent="0.25">
      <c r="F192" s="86"/>
    </row>
    <row r="193" spans="6:6" x14ac:dyDescent="0.25">
      <c r="F193" s="86"/>
    </row>
    <row r="194" spans="6:6" x14ac:dyDescent="0.25">
      <c r="F194" s="86"/>
    </row>
    <row r="195" spans="6:6" x14ac:dyDescent="0.25">
      <c r="F195" s="86"/>
    </row>
    <row r="196" spans="6:6" x14ac:dyDescent="0.25">
      <c r="F196" s="86"/>
    </row>
    <row r="197" spans="6:6" x14ac:dyDescent="0.25">
      <c r="F197" s="86"/>
    </row>
    <row r="198" spans="6:6" x14ac:dyDescent="0.25">
      <c r="F198" s="86"/>
    </row>
    <row r="199" spans="6:6" x14ac:dyDescent="0.25">
      <c r="F199" s="86"/>
    </row>
    <row r="200" spans="6:6" x14ac:dyDescent="0.25">
      <c r="F200" s="86"/>
    </row>
    <row r="201" spans="6:6" x14ac:dyDescent="0.25">
      <c r="F201" s="86"/>
    </row>
    <row r="202" spans="6:6" x14ac:dyDescent="0.25">
      <c r="F202" s="86"/>
    </row>
    <row r="203" spans="6:6" x14ac:dyDescent="0.25">
      <c r="F203" s="86"/>
    </row>
    <row r="204" spans="6:6" x14ac:dyDescent="0.25">
      <c r="F204" s="86"/>
    </row>
    <row r="205" spans="6:6" x14ac:dyDescent="0.25">
      <c r="F205" s="86"/>
    </row>
    <row r="206" spans="6:6" x14ac:dyDescent="0.25">
      <c r="F206" s="86"/>
    </row>
    <row r="207" spans="6:6" x14ac:dyDescent="0.25">
      <c r="F207" s="86"/>
    </row>
    <row r="208" spans="6:6" x14ac:dyDescent="0.25">
      <c r="F208" s="86"/>
    </row>
    <row r="209" spans="6:6" x14ac:dyDescent="0.25">
      <c r="F209" s="86"/>
    </row>
    <row r="210" spans="6:6" x14ac:dyDescent="0.25">
      <c r="F210" s="86"/>
    </row>
    <row r="211" spans="6:6" x14ac:dyDescent="0.25">
      <c r="F211" s="86"/>
    </row>
    <row r="212" spans="6:6" x14ac:dyDescent="0.25">
      <c r="F212" s="86"/>
    </row>
    <row r="213" spans="6:6" x14ac:dyDescent="0.25">
      <c r="F213" s="86"/>
    </row>
    <row r="214" spans="6:6" x14ac:dyDescent="0.25">
      <c r="F214" s="86"/>
    </row>
    <row r="215" spans="6:6" x14ac:dyDescent="0.25">
      <c r="F215" s="86"/>
    </row>
    <row r="216" spans="6:6" x14ac:dyDescent="0.25">
      <c r="F216" s="86"/>
    </row>
    <row r="217" spans="6:6" x14ac:dyDescent="0.25">
      <c r="F217" s="86"/>
    </row>
    <row r="218" spans="6:6" x14ac:dyDescent="0.25">
      <c r="F218" s="86"/>
    </row>
    <row r="219" spans="6:6" x14ac:dyDescent="0.25">
      <c r="F219" s="86"/>
    </row>
    <row r="220" spans="6:6" x14ac:dyDescent="0.25">
      <c r="F220" s="86"/>
    </row>
    <row r="221" spans="6:6" x14ac:dyDescent="0.25">
      <c r="F221" s="86"/>
    </row>
    <row r="222" spans="6:6" x14ac:dyDescent="0.25">
      <c r="F222" s="86"/>
    </row>
    <row r="223" spans="6:6" x14ac:dyDescent="0.25">
      <c r="F223" s="86"/>
    </row>
    <row r="224" spans="6:6" x14ac:dyDescent="0.25">
      <c r="F224" s="86"/>
    </row>
    <row r="225" spans="6:6" x14ac:dyDescent="0.25">
      <c r="F225" s="86"/>
    </row>
    <row r="226" spans="6:6" x14ac:dyDescent="0.25">
      <c r="F226" s="86"/>
    </row>
    <row r="227" spans="6:6" x14ac:dyDescent="0.25">
      <c r="F227" s="86"/>
    </row>
    <row r="228" spans="6:6" x14ac:dyDescent="0.25">
      <c r="F228" s="86"/>
    </row>
    <row r="229" spans="6:6" x14ac:dyDescent="0.25">
      <c r="F229" s="86"/>
    </row>
    <row r="230" spans="6:6" x14ac:dyDescent="0.25">
      <c r="F230" s="86"/>
    </row>
    <row r="231" spans="6:6" x14ac:dyDescent="0.25">
      <c r="F231" s="86"/>
    </row>
    <row r="232" spans="6:6" x14ac:dyDescent="0.25">
      <c r="F232" s="86"/>
    </row>
    <row r="233" spans="6:6" x14ac:dyDescent="0.25">
      <c r="F233" s="86"/>
    </row>
    <row r="234" spans="6:6" x14ac:dyDescent="0.25">
      <c r="F234" s="86"/>
    </row>
    <row r="235" spans="6:6" x14ac:dyDescent="0.25">
      <c r="F235" s="86"/>
    </row>
    <row r="236" spans="6:6" x14ac:dyDescent="0.25">
      <c r="F236" s="86"/>
    </row>
    <row r="237" spans="6:6" x14ac:dyDescent="0.25">
      <c r="F237" s="86"/>
    </row>
    <row r="238" spans="6:6" x14ac:dyDescent="0.25">
      <c r="F238" s="86"/>
    </row>
    <row r="239" spans="6:6" x14ac:dyDescent="0.25">
      <c r="F239" s="86"/>
    </row>
    <row r="240" spans="6:6" x14ac:dyDescent="0.25">
      <c r="F240" s="86"/>
    </row>
    <row r="241" spans="6:6" x14ac:dyDescent="0.25">
      <c r="F241" s="86"/>
    </row>
    <row r="242" spans="6:6" x14ac:dyDescent="0.25">
      <c r="F242" s="86"/>
    </row>
    <row r="243" spans="6:6" x14ac:dyDescent="0.25">
      <c r="F243" s="86"/>
    </row>
    <row r="244" spans="6:6" x14ac:dyDescent="0.25">
      <c r="F244" s="86"/>
    </row>
    <row r="245" spans="6:6" x14ac:dyDescent="0.25">
      <c r="F245" s="86"/>
    </row>
    <row r="246" spans="6:6" x14ac:dyDescent="0.25">
      <c r="F246" s="86"/>
    </row>
    <row r="247" spans="6:6" x14ac:dyDescent="0.25">
      <c r="F247" s="86"/>
    </row>
    <row r="248" spans="6:6" x14ac:dyDescent="0.25">
      <c r="F248" s="86"/>
    </row>
    <row r="249" spans="6:6" x14ac:dyDescent="0.25">
      <c r="F249" s="86"/>
    </row>
    <row r="250" spans="6:6" x14ac:dyDescent="0.25">
      <c r="F250" s="86"/>
    </row>
    <row r="251" spans="6:6" x14ac:dyDescent="0.25">
      <c r="F251" s="86"/>
    </row>
    <row r="252" spans="6:6" x14ac:dyDescent="0.25">
      <c r="F252" s="86"/>
    </row>
    <row r="253" spans="6:6" x14ac:dyDescent="0.25">
      <c r="F253" s="86"/>
    </row>
    <row r="254" spans="6:6" x14ac:dyDescent="0.25">
      <c r="F254" s="86"/>
    </row>
    <row r="255" spans="6:6" x14ac:dyDescent="0.25">
      <c r="F255" s="86"/>
    </row>
    <row r="256" spans="6:6" x14ac:dyDescent="0.25">
      <c r="F256" s="86"/>
    </row>
    <row r="257" spans="6:6" x14ac:dyDescent="0.25">
      <c r="F257" s="86"/>
    </row>
    <row r="258" spans="6:6" x14ac:dyDescent="0.25">
      <c r="F258" s="86"/>
    </row>
    <row r="259" spans="6:6" x14ac:dyDescent="0.25">
      <c r="F259" s="86"/>
    </row>
    <row r="260" spans="6:6" x14ac:dyDescent="0.25">
      <c r="F260" s="86"/>
    </row>
    <row r="261" spans="6:6" x14ac:dyDescent="0.25">
      <c r="F261" s="86"/>
    </row>
    <row r="262" spans="6:6" x14ac:dyDescent="0.25">
      <c r="F262" s="86"/>
    </row>
    <row r="263" spans="6:6" x14ac:dyDescent="0.25">
      <c r="F263" s="86"/>
    </row>
    <row r="264" spans="6:6" x14ac:dyDescent="0.25">
      <c r="F264" s="86"/>
    </row>
    <row r="265" spans="6:6" x14ac:dyDescent="0.25">
      <c r="F265" s="86"/>
    </row>
    <row r="266" spans="6:6" x14ac:dyDescent="0.25">
      <c r="F266" s="86"/>
    </row>
    <row r="267" spans="6:6" x14ac:dyDescent="0.25">
      <c r="F267" s="86"/>
    </row>
    <row r="268" spans="6:6" x14ac:dyDescent="0.25">
      <c r="F268" s="86"/>
    </row>
    <row r="269" spans="6:6" x14ac:dyDescent="0.25">
      <c r="F269" s="86"/>
    </row>
    <row r="270" spans="6:6" x14ac:dyDescent="0.25">
      <c r="F270" s="86"/>
    </row>
    <row r="271" spans="6:6" x14ac:dyDescent="0.25">
      <c r="F271" s="86"/>
    </row>
    <row r="272" spans="6:6" x14ac:dyDescent="0.25">
      <c r="F272" s="86"/>
    </row>
    <row r="273" spans="6:6" x14ac:dyDescent="0.25">
      <c r="F273" s="86"/>
    </row>
    <row r="274" spans="6:6" x14ac:dyDescent="0.25">
      <c r="F274" s="86"/>
    </row>
    <row r="275" spans="6:6" x14ac:dyDescent="0.25">
      <c r="F275" s="86"/>
    </row>
    <row r="276" spans="6:6" x14ac:dyDescent="0.25">
      <c r="F276" s="86"/>
    </row>
    <row r="277" spans="6:6" x14ac:dyDescent="0.25">
      <c r="F277" s="86"/>
    </row>
    <row r="278" spans="6:6" x14ac:dyDescent="0.25">
      <c r="F278" s="86"/>
    </row>
    <row r="279" spans="6:6" x14ac:dyDescent="0.25">
      <c r="F279" s="86"/>
    </row>
    <row r="280" spans="6:6" x14ac:dyDescent="0.25">
      <c r="F280" s="86"/>
    </row>
    <row r="281" spans="6:6" x14ac:dyDescent="0.25">
      <c r="F281" s="86"/>
    </row>
    <row r="282" spans="6:6" x14ac:dyDescent="0.25">
      <c r="F282" s="86"/>
    </row>
    <row r="283" spans="6:6" x14ac:dyDescent="0.25">
      <c r="F283" s="86"/>
    </row>
    <row r="284" spans="6:6" x14ac:dyDescent="0.25">
      <c r="F284" s="86"/>
    </row>
    <row r="285" spans="6:6" x14ac:dyDescent="0.25">
      <c r="F285" s="86"/>
    </row>
    <row r="286" spans="6:6" x14ac:dyDescent="0.25">
      <c r="F286" s="86"/>
    </row>
    <row r="287" spans="6:6" x14ac:dyDescent="0.25">
      <c r="F287" s="86"/>
    </row>
    <row r="288" spans="6:6" x14ac:dyDescent="0.25">
      <c r="F288" s="86"/>
    </row>
    <row r="289" spans="6:6" x14ac:dyDescent="0.25">
      <c r="F289" s="86"/>
    </row>
    <row r="290" spans="6:6" x14ac:dyDescent="0.25">
      <c r="F290" s="86"/>
    </row>
    <row r="291" spans="6:6" x14ac:dyDescent="0.25">
      <c r="F291" s="86"/>
    </row>
    <row r="292" spans="6:6" x14ac:dyDescent="0.25">
      <c r="F292" s="86"/>
    </row>
    <row r="293" spans="6:6" x14ac:dyDescent="0.25">
      <c r="F293" s="86"/>
    </row>
    <row r="294" spans="6:6" x14ac:dyDescent="0.25">
      <c r="F294" s="86"/>
    </row>
    <row r="295" spans="6:6" x14ac:dyDescent="0.25">
      <c r="F295" s="86"/>
    </row>
    <row r="296" spans="6:6" x14ac:dyDescent="0.25">
      <c r="F296" s="86"/>
    </row>
    <row r="297" spans="6:6" x14ac:dyDescent="0.25">
      <c r="F297" s="86"/>
    </row>
    <row r="298" spans="6:6" x14ac:dyDescent="0.25">
      <c r="F298" s="86"/>
    </row>
    <row r="299" spans="6:6" x14ac:dyDescent="0.25">
      <c r="F299" s="86"/>
    </row>
    <row r="300" spans="6:6" x14ac:dyDescent="0.25">
      <c r="F300" s="86"/>
    </row>
    <row r="301" spans="6:6" x14ac:dyDescent="0.25">
      <c r="F301" s="86"/>
    </row>
    <row r="302" spans="6:6" x14ac:dyDescent="0.25">
      <c r="F302" s="86"/>
    </row>
    <row r="303" spans="6:6" x14ac:dyDescent="0.25">
      <c r="F303" s="86"/>
    </row>
    <row r="304" spans="6:6" x14ac:dyDescent="0.25">
      <c r="F304" s="86"/>
    </row>
    <row r="305" spans="6:6" x14ac:dyDescent="0.25">
      <c r="F305" s="86"/>
    </row>
    <row r="306" spans="6:6" x14ac:dyDescent="0.25">
      <c r="F306" s="86"/>
    </row>
    <row r="307" spans="6:6" x14ac:dyDescent="0.25">
      <c r="F307" s="86"/>
    </row>
    <row r="308" spans="6:6" x14ac:dyDescent="0.25">
      <c r="F308" s="86"/>
    </row>
    <row r="309" spans="6:6" x14ac:dyDescent="0.25">
      <c r="F309" s="86"/>
    </row>
    <row r="310" spans="6:6" x14ac:dyDescent="0.25">
      <c r="F310" s="86"/>
    </row>
    <row r="311" spans="6:6" x14ac:dyDescent="0.25">
      <c r="F311" s="86"/>
    </row>
    <row r="312" spans="6:6" x14ac:dyDescent="0.25">
      <c r="F312" s="86"/>
    </row>
    <row r="313" spans="6:6" x14ac:dyDescent="0.25">
      <c r="F313" s="86"/>
    </row>
    <row r="314" spans="6:6" x14ac:dyDescent="0.25">
      <c r="F314" s="86"/>
    </row>
    <row r="315" spans="6:6" x14ac:dyDescent="0.25">
      <c r="F315" s="86"/>
    </row>
    <row r="316" spans="6:6" x14ac:dyDescent="0.25">
      <c r="F316" s="86"/>
    </row>
    <row r="317" spans="6:6" x14ac:dyDescent="0.25">
      <c r="F317" s="86"/>
    </row>
    <row r="318" spans="6:6" x14ac:dyDescent="0.25">
      <c r="F318" s="86"/>
    </row>
    <row r="319" spans="6:6" x14ac:dyDescent="0.25">
      <c r="F319" s="86"/>
    </row>
    <row r="320" spans="6:6" x14ac:dyDescent="0.25">
      <c r="F320" s="86"/>
    </row>
    <row r="321" spans="6:6" x14ac:dyDescent="0.25">
      <c r="F321" s="86"/>
    </row>
    <row r="322" spans="6:6" x14ac:dyDescent="0.25">
      <c r="F322" s="86"/>
    </row>
    <row r="323" spans="6:6" x14ac:dyDescent="0.25">
      <c r="F323" s="86"/>
    </row>
    <row r="324" spans="6:6" x14ac:dyDescent="0.25">
      <c r="F324" s="86"/>
    </row>
    <row r="325" spans="6:6" x14ac:dyDescent="0.25">
      <c r="F325" s="86"/>
    </row>
    <row r="326" spans="6:6" x14ac:dyDescent="0.25">
      <c r="F326" s="86"/>
    </row>
    <row r="327" spans="6:6" x14ac:dyDescent="0.25">
      <c r="F327" s="86"/>
    </row>
    <row r="328" spans="6:6" x14ac:dyDescent="0.25">
      <c r="F328" s="86"/>
    </row>
    <row r="329" spans="6:6" x14ac:dyDescent="0.25">
      <c r="F329" s="86"/>
    </row>
    <row r="330" spans="6:6" x14ac:dyDescent="0.25">
      <c r="F330" s="86"/>
    </row>
    <row r="331" spans="6:6" x14ac:dyDescent="0.25">
      <c r="F331" s="86"/>
    </row>
    <row r="332" spans="6:6" x14ac:dyDescent="0.25">
      <c r="F332" s="86"/>
    </row>
    <row r="333" spans="6:6" x14ac:dyDescent="0.25">
      <c r="F333" s="86"/>
    </row>
    <row r="334" spans="6:6" x14ac:dyDescent="0.25">
      <c r="F334" s="86"/>
    </row>
    <row r="335" spans="6:6" x14ac:dyDescent="0.25">
      <c r="F335" s="86"/>
    </row>
    <row r="336" spans="6:6" x14ac:dyDescent="0.25">
      <c r="F336" s="86"/>
    </row>
    <row r="337" spans="6:6" x14ac:dyDescent="0.25">
      <c r="F337" s="86"/>
    </row>
    <row r="338" spans="6:6" x14ac:dyDescent="0.25">
      <c r="F338" s="86"/>
    </row>
    <row r="339" spans="6:6" x14ac:dyDescent="0.25">
      <c r="F339" s="86"/>
    </row>
    <row r="340" spans="6:6" x14ac:dyDescent="0.25">
      <c r="F340" s="86"/>
    </row>
    <row r="341" spans="6:6" x14ac:dyDescent="0.25">
      <c r="F341" s="86"/>
    </row>
    <row r="342" spans="6:6" x14ac:dyDescent="0.25">
      <c r="F342" s="86"/>
    </row>
    <row r="343" spans="6:6" x14ac:dyDescent="0.25">
      <c r="F343" s="86"/>
    </row>
    <row r="344" spans="6:6" x14ac:dyDescent="0.25">
      <c r="F344" s="86"/>
    </row>
    <row r="345" spans="6:6" x14ac:dyDescent="0.25">
      <c r="F345" s="86"/>
    </row>
    <row r="346" spans="6:6" x14ac:dyDescent="0.25">
      <c r="F346" s="86"/>
    </row>
    <row r="347" spans="6:6" x14ac:dyDescent="0.25">
      <c r="F347" s="86"/>
    </row>
    <row r="348" spans="6:6" x14ac:dyDescent="0.25">
      <c r="F348" s="86"/>
    </row>
    <row r="349" spans="6:6" x14ac:dyDescent="0.25">
      <c r="F349" s="86"/>
    </row>
    <row r="350" spans="6:6" x14ac:dyDescent="0.25">
      <c r="F350" s="86"/>
    </row>
    <row r="351" spans="6:6" x14ac:dyDescent="0.25">
      <c r="F351" s="86"/>
    </row>
    <row r="352" spans="6:6" x14ac:dyDescent="0.25">
      <c r="F352" s="86"/>
    </row>
    <row r="353" spans="6:6" x14ac:dyDescent="0.25">
      <c r="F353" s="86"/>
    </row>
    <row r="354" spans="6:6" x14ac:dyDescent="0.25">
      <c r="F354" s="86"/>
    </row>
    <row r="355" spans="6:6" x14ac:dyDescent="0.25">
      <c r="F355" s="86"/>
    </row>
    <row r="356" spans="6:6" x14ac:dyDescent="0.25">
      <c r="F356" s="86"/>
    </row>
    <row r="357" spans="6:6" x14ac:dyDescent="0.25">
      <c r="F357" s="86"/>
    </row>
    <row r="358" spans="6:6" x14ac:dyDescent="0.25">
      <c r="F358" s="86"/>
    </row>
    <row r="359" spans="6:6" x14ac:dyDescent="0.25">
      <c r="F359" s="86"/>
    </row>
    <row r="360" spans="6:6" x14ac:dyDescent="0.25">
      <c r="F360" s="86"/>
    </row>
    <row r="361" spans="6:6" x14ac:dyDescent="0.25">
      <c r="F361" s="86"/>
    </row>
    <row r="362" spans="6:6" x14ac:dyDescent="0.25">
      <c r="F362" s="86"/>
    </row>
    <row r="363" spans="6:6" x14ac:dyDescent="0.25">
      <c r="F363" s="86"/>
    </row>
    <row r="364" spans="6:6" x14ac:dyDescent="0.25">
      <c r="F364" s="86"/>
    </row>
    <row r="365" spans="6:6" x14ac:dyDescent="0.25">
      <c r="F365" s="86"/>
    </row>
    <row r="366" spans="6:6" x14ac:dyDescent="0.25">
      <c r="F366" s="86"/>
    </row>
    <row r="367" spans="6:6" x14ac:dyDescent="0.25">
      <c r="F367" s="86"/>
    </row>
    <row r="368" spans="6:6" x14ac:dyDescent="0.25">
      <c r="F368" s="86"/>
    </row>
    <row r="369" spans="6:6" x14ac:dyDescent="0.25">
      <c r="F369" s="86"/>
    </row>
    <row r="370" spans="6:6" x14ac:dyDescent="0.25">
      <c r="F370" s="86"/>
    </row>
    <row r="371" spans="6:6" x14ac:dyDescent="0.25">
      <c r="F371" s="86"/>
    </row>
    <row r="372" spans="6:6" x14ac:dyDescent="0.25">
      <c r="F372" s="86"/>
    </row>
    <row r="373" spans="6:6" x14ac:dyDescent="0.25">
      <c r="F373" s="86"/>
    </row>
    <row r="374" spans="6:6" x14ac:dyDescent="0.25">
      <c r="F374" s="86"/>
    </row>
    <row r="375" spans="6:6" x14ac:dyDescent="0.25">
      <c r="F375" s="86"/>
    </row>
    <row r="376" spans="6:6" x14ac:dyDescent="0.25">
      <c r="F376" s="86"/>
    </row>
    <row r="377" spans="6:6" x14ac:dyDescent="0.25">
      <c r="F377" s="86"/>
    </row>
    <row r="378" spans="6:6" x14ac:dyDescent="0.25">
      <c r="F378" s="86"/>
    </row>
    <row r="379" spans="6:6" x14ac:dyDescent="0.25">
      <c r="F379" s="86"/>
    </row>
    <row r="380" spans="6:6" x14ac:dyDescent="0.25">
      <c r="F380" s="86"/>
    </row>
    <row r="381" spans="6:6" x14ac:dyDescent="0.25">
      <c r="F381" s="86"/>
    </row>
    <row r="382" spans="6:6" x14ac:dyDescent="0.25">
      <c r="F382" s="86"/>
    </row>
    <row r="383" spans="6:6" x14ac:dyDescent="0.25">
      <c r="F383" s="86"/>
    </row>
    <row r="384" spans="6:6" x14ac:dyDescent="0.25">
      <c r="F384" s="86"/>
    </row>
    <row r="385" spans="6:6" x14ac:dyDescent="0.25">
      <c r="F385" s="86"/>
    </row>
    <row r="386" spans="6:6" x14ac:dyDescent="0.25">
      <c r="F386" s="86"/>
    </row>
    <row r="387" spans="6:6" x14ac:dyDescent="0.25">
      <c r="F387" s="86"/>
    </row>
    <row r="388" spans="6:6" x14ac:dyDescent="0.25">
      <c r="F388" s="86"/>
    </row>
    <row r="389" spans="6:6" x14ac:dyDescent="0.25">
      <c r="F389" s="86"/>
    </row>
    <row r="390" spans="6:6" x14ac:dyDescent="0.25">
      <c r="F390" s="86"/>
    </row>
    <row r="391" spans="6:6" x14ac:dyDescent="0.25">
      <c r="F391" s="86"/>
    </row>
    <row r="392" spans="6:6" x14ac:dyDescent="0.25">
      <c r="F392" s="86"/>
    </row>
    <row r="393" spans="6:6" x14ac:dyDescent="0.25">
      <c r="F393" s="86"/>
    </row>
    <row r="394" spans="6:6" x14ac:dyDescent="0.25">
      <c r="F394" s="86"/>
    </row>
    <row r="395" spans="6:6" x14ac:dyDescent="0.25">
      <c r="F395" s="86"/>
    </row>
    <row r="396" spans="6:6" x14ac:dyDescent="0.25">
      <c r="F396" s="86"/>
    </row>
    <row r="397" spans="6:6" x14ac:dyDescent="0.25">
      <c r="F397" s="86"/>
    </row>
    <row r="398" spans="6:6" x14ac:dyDescent="0.25">
      <c r="F398" s="86"/>
    </row>
    <row r="399" spans="6:6" x14ac:dyDescent="0.25">
      <c r="F399" s="86"/>
    </row>
    <row r="400" spans="6:6" x14ac:dyDescent="0.25">
      <c r="F400" s="86"/>
    </row>
    <row r="401" spans="6:6" x14ac:dyDescent="0.25">
      <c r="F401" s="86"/>
    </row>
    <row r="402" spans="6:6" x14ac:dyDescent="0.25">
      <c r="F402" s="86"/>
    </row>
    <row r="403" spans="6:6" x14ac:dyDescent="0.25">
      <c r="F403" s="86"/>
    </row>
    <row r="404" spans="6:6" x14ac:dyDescent="0.25">
      <c r="F404" s="86"/>
    </row>
    <row r="405" spans="6:6" x14ac:dyDescent="0.25">
      <c r="F405" s="86"/>
    </row>
    <row r="406" spans="6:6" x14ac:dyDescent="0.25">
      <c r="F406" s="86"/>
    </row>
    <row r="407" spans="6:6" x14ac:dyDescent="0.25">
      <c r="F407" s="86"/>
    </row>
    <row r="408" spans="6:6" x14ac:dyDescent="0.25">
      <c r="F408" s="86"/>
    </row>
    <row r="409" spans="6:6" x14ac:dyDescent="0.25">
      <c r="F409" s="86"/>
    </row>
    <row r="410" spans="6:6" x14ac:dyDescent="0.25">
      <c r="F410" s="86"/>
    </row>
    <row r="411" spans="6:6" x14ac:dyDescent="0.25">
      <c r="F411" s="86"/>
    </row>
    <row r="412" spans="6:6" x14ac:dyDescent="0.25">
      <c r="F412" s="86"/>
    </row>
    <row r="413" spans="6:6" x14ac:dyDescent="0.25">
      <c r="F413" s="86"/>
    </row>
    <row r="414" spans="6:6" x14ac:dyDescent="0.25">
      <c r="F414" s="86"/>
    </row>
    <row r="415" spans="6:6" x14ac:dyDescent="0.25">
      <c r="F415" s="86"/>
    </row>
    <row r="416" spans="6:6" x14ac:dyDescent="0.25">
      <c r="F416" s="86"/>
    </row>
    <row r="417" spans="6:6" x14ac:dyDescent="0.25">
      <c r="F417" s="86"/>
    </row>
    <row r="418" spans="6:6" x14ac:dyDescent="0.25">
      <c r="F418" s="86"/>
    </row>
    <row r="419" spans="6:6" x14ac:dyDescent="0.25">
      <c r="F419" s="86"/>
    </row>
    <row r="420" spans="6:6" x14ac:dyDescent="0.25">
      <c r="F420" s="86"/>
    </row>
    <row r="421" spans="6:6" x14ac:dyDescent="0.25">
      <c r="F421" s="86"/>
    </row>
    <row r="422" spans="6:6" x14ac:dyDescent="0.25">
      <c r="F422" s="86"/>
    </row>
    <row r="423" spans="6:6" x14ac:dyDescent="0.25">
      <c r="F423" s="86"/>
    </row>
    <row r="424" spans="6:6" x14ac:dyDescent="0.25">
      <c r="F424" s="86"/>
    </row>
    <row r="425" spans="6:6" x14ac:dyDescent="0.25">
      <c r="F425" s="86"/>
    </row>
    <row r="426" spans="6:6" x14ac:dyDescent="0.25">
      <c r="F426" s="86"/>
    </row>
    <row r="427" spans="6:6" x14ac:dyDescent="0.25">
      <c r="F427" s="86"/>
    </row>
    <row r="428" spans="6:6" x14ac:dyDescent="0.25">
      <c r="F428" s="86"/>
    </row>
    <row r="429" spans="6:6" x14ac:dyDescent="0.25">
      <c r="F429" s="86"/>
    </row>
    <row r="430" spans="6:6" x14ac:dyDescent="0.25">
      <c r="F430" s="86"/>
    </row>
    <row r="431" spans="6:6" x14ac:dyDescent="0.25">
      <c r="F431" s="86"/>
    </row>
    <row r="432" spans="6:6" x14ac:dyDescent="0.25">
      <c r="F432" s="86"/>
    </row>
    <row r="433" spans="6:6" x14ac:dyDescent="0.25">
      <c r="F433" s="86"/>
    </row>
    <row r="434" spans="6:6" x14ac:dyDescent="0.25">
      <c r="F434" s="86"/>
    </row>
    <row r="435" spans="6:6" x14ac:dyDescent="0.25">
      <c r="F435" s="86"/>
    </row>
    <row r="436" spans="6:6" x14ac:dyDescent="0.25">
      <c r="F436" s="86"/>
    </row>
    <row r="437" spans="6:6" x14ac:dyDescent="0.25">
      <c r="F437" s="86"/>
    </row>
    <row r="438" spans="6:6" x14ac:dyDescent="0.25">
      <c r="F438" s="86"/>
    </row>
    <row r="439" spans="6:6" x14ac:dyDescent="0.25">
      <c r="F439" s="86"/>
    </row>
    <row r="440" spans="6:6" x14ac:dyDescent="0.25">
      <c r="F440" s="86"/>
    </row>
    <row r="441" spans="6:6" x14ac:dyDescent="0.25">
      <c r="F441" s="86"/>
    </row>
    <row r="442" spans="6:6" x14ac:dyDescent="0.25">
      <c r="F442" s="86"/>
    </row>
    <row r="443" spans="6:6" x14ac:dyDescent="0.25">
      <c r="F443" s="86"/>
    </row>
    <row r="444" spans="6:6" x14ac:dyDescent="0.25">
      <c r="F444" s="86"/>
    </row>
    <row r="445" spans="6:6" x14ac:dyDescent="0.25">
      <c r="F445" s="86"/>
    </row>
    <row r="446" spans="6:6" x14ac:dyDescent="0.25">
      <c r="F446" s="86"/>
    </row>
    <row r="447" spans="6:6" x14ac:dyDescent="0.25">
      <c r="F447" s="86"/>
    </row>
    <row r="448" spans="6:6" x14ac:dyDescent="0.25">
      <c r="F448" s="86"/>
    </row>
    <row r="449" spans="6:6" x14ac:dyDescent="0.25">
      <c r="F449" s="86"/>
    </row>
    <row r="450" spans="6:6" x14ac:dyDescent="0.25">
      <c r="F450" s="86"/>
    </row>
    <row r="451" spans="6:6" x14ac:dyDescent="0.25">
      <c r="F451" s="86"/>
    </row>
    <row r="452" spans="6:6" x14ac:dyDescent="0.25">
      <c r="F452" s="86"/>
    </row>
    <row r="453" spans="6:6" x14ac:dyDescent="0.25">
      <c r="F453" s="86"/>
    </row>
    <row r="454" spans="6:6" x14ac:dyDescent="0.25">
      <c r="F454" s="86"/>
    </row>
    <row r="455" spans="6:6" x14ac:dyDescent="0.25">
      <c r="F455" s="86"/>
    </row>
    <row r="456" spans="6:6" x14ac:dyDescent="0.25">
      <c r="F456" s="86"/>
    </row>
    <row r="457" spans="6:6" x14ac:dyDescent="0.25">
      <c r="F457" s="86"/>
    </row>
    <row r="458" spans="6:6" x14ac:dyDescent="0.25">
      <c r="F458" s="86"/>
    </row>
    <row r="459" spans="6:6" x14ac:dyDescent="0.25">
      <c r="F459" s="86"/>
    </row>
    <row r="460" spans="6:6" x14ac:dyDescent="0.25">
      <c r="F460" s="86"/>
    </row>
  </sheetData>
  <sheetProtection selectLockedCells="1" autoFilter="0"/>
  <mergeCells count="4">
    <mergeCell ref="E29:F29"/>
    <mergeCell ref="C16:D16"/>
    <mergeCell ref="F23:H23"/>
    <mergeCell ref="C23:D23"/>
  </mergeCells>
  <dataValidations count="4">
    <dataValidation type="textLength" allowBlank="1" showInputMessage="1" showErrorMessage="1" prompt="Caracteres:  12 para personas Moral,13 Personas Fisica" sqref="D18 D25" xr:uid="{00000000-0002-0000-0100-000000000000}">
      <formula1>12</formula1>
      <formula2>13</formula2>
    </dataValidation>
    <dataValidation type="whole" allowBlank="1" showInputMessage="1" showErrorMessage="1" prompt="Solo admite Números" sqref="D19" xr:uid="{00000000-0002-0000-0100-000001000000}">
      <formula1>1</formula1>
      <formula2>9999999999</formula2>
    </dataValidation>
    <dataValidation allowBlank="1" showInputMessage="1" showErrorMessage="1" prompt="Caracteres:  12 para personas Moral,13 Personas Fisica" sqref="D24" xr:uid="{00000000-0002-0000-0100-000002000000}"/>
    <dataValidation type="whole" allowBlank="1" showInputMessage="1" showErrorMessage="1" prompt="Solo admite Números" sqref="D26" xr:uid="{00000000-0002-0000-0100-000003000000}">
      <formula1>0</formula1>
      <formula2>9999999999999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rgb="FF82302E"/>
  </sheetPr>
  <dimension ref="A1:G964"/>
  <sheetViews>
    <sheetView workbookViewId="0">
      <selection activeCell="A3" sqref="A3:C3"/>
    </sheetView>
  </sheetViews>
  <sheetFormatPr baseColWidth="10" defaultRowHeight="15" x14ac:dyDescent="0.25"/>
  <cols>
    <col min="1" max="1" width="35.7109375" style="37" customWidth="1"/>
    <col min="2" max="2" width="35.7109375" style="40" customWidth="1"/>
    <col min="3" max="3" width="35.7109375" style="41" customWidth="1"/>
    <col min="4" max="4" width="11.42578125" style="6"/>
    <col min="5" max="6" width="35.7109375" style="36" customWidth="1"/>
    <col min="7" max="16384" width="11.42578125" style="6"/>
  </cols>
  <sheetData>
    <row r="1" spans="1:7" x14ac:dyDescent="0.25">
      <c r="A1" s="213" t="s">
        <v>800</v>
      </c>
      <c r="B1" s="214"/>
      <c r="C1" s="215"/>
      <c r="E1" s="56" t="s">
        <v>811</v>
      </c>
      <c r="F1" s="57" t="s">
        <v>13</v>
      </c>
      <c r="G1" s="58" t="s">
        <v>812</v>
      </c>
    </row>
    <row r="2" spans="1:7" x14ac:dyDescent="0.25">
      <c r="A2" s="44"/>
      <c r="B2" s="45"/>
      <c r="C2" s="45"/>
      <c r="E2" s="43"/>
      <c r="G2" s="36"/>
    </row>
    <row r="3" spans="1:7" x14ac:dyDescent="0.25">
      <c r="A3" s="46" t="s">
        <v>842</v>
      </c>
      <c r="B3" s="46" t="s">
        <v>843</v>
      </c>
      <c r="C3" s="46">
        <v>2321234585</v>
      </c>
      <c r="E3" s="43"/>
      <c r="G3" s="36"/>
    </row>
    <row r="4" spans="1:7" x14ac:dyDescent="0.25">
      <c r="A4" s="46" t="s">
        <v>824</v>
      </c>
      <c r="B4" s="46" t="s">
        <v>825</v>
      </c>
      <c r="C4" s="46">
        <v>2321292745</v>
      </c>
      <c r="E4" s="43"/>
      <c r="G4" s="36"/>
    </row>
    <row r="5" spans="1:7" x14ac:dyDescent="0.25">
      <c r="A5" s="46" t="s">
        <v>823</v>
      </c>
      <c r="B5" s="46">
        <v>123456789101</v>
      </c>
      <c r="C5" s="46">
        <v>2324578935</v>
      </c>
      <c r="E5" s="43"/>
      <c r="G5" s="36"/>
    </row>
    <row r="6" spans="1:7" x14ac:dyDescent="0.25">
      <c r="A6" s="46" t="s">
        <v>816</v>
      </c>
      <c r="B6" s="46" t="s">
        <v>815</v>
      </c>
      <c r="C6" s="46">
        <v>2321125951</v>
      </c>
      <c r="E6" s="43"/>
      <c r="G6" s="36"/>
    </row>
    <row r="7" spans="1:7" x14ac:dyDescent="0.25">
      <c r="A7" s="46" t="s">
        <v>817</v>
      </c>
      <c r="B7" s="46" t="s">
        <v>815</v>
      </c>
      <c r="C7" s="46">
        <v>2321125951</v>
      </c>
      <c r="E7" s="43"/>
      <c r="G7" s="36"/>
    </row>
    <row r="8" spans="1:7" x14ac:dyDescent="0.25">
      <c r="A8" s="44"/>
      <c r="B8" s="45"/>
      <c r="C8" s="45"/>
      <c r="E8" s="43"/>
      <c r="G8" s="36"/>
    </row>
    <row r="9" spans="1:7" x14ac:dyDescent="0.25">
      <c r="A9" s="44"/>
      <c r="B9" s="45"/>
      <c r="C9" s="45"/>
      <c r="E9" s="43"/>
      <c r="G9" s="36"/>
    </row>
    <row r="10" spans="1:7" x14ac:dyDescent="0.25">
      <c r="A10" s="44"/>
      <c r="B10" s="45"/>
      <c r="C10" s="45"/>
      <c r="E10" s="43"/>
      <c r="G10" s="36"/>
    </row>
    <row r="11" spans="1:7" x14ac:dyDescent="0.25">
      <c r="A11" s="44"/>
      <c r="B11" s="45"/>
      <c r="C11" s="45"/>
      <c r="E11" s="43"/>
      <c r="G11" s="36"/>
    </row>
    <row r="12" spans="1:7" x14ac:dyDescent="0.25">
      <c r="A12" s="44"/>
      <c r="B12" s="45"/>
      <c r="C12" s="45"/>
      <c r="E12" s="43"/>
      <c r="G12" s="36"/>
    </row>
    <row r="13" spans="1:7" x14ac:dyDescent="0.25">
      <c r="E13" s="46"/>
      <c r="F13" s="59"/>
      <c r="G13" s="36"/>
    </row>
    <row r="14" spans="1:7" x14ac:dyDescent="0.25">
      <c r="A14" s="42"/>
      <c r="B14" s="42"/>
      <c r="C14" s="42"/>
      <c r="E14" s="46"/>
      <c r="F14" s="59"/>
      <c r="G14" s="36"/>
    </row>
    <row r="15" spans="1:7" x14ac:dyDescent="0.25">
      <c r="G15" s="36"/>
    </row>
    <row r="16" spans="1:7" x14ac:dyDescent="0.25">
      <c r="A16" s="36"/>
      <c r="B16" s="36"/>
      <c r="C16" s="36"/>
      <c r="G16" s="36"/>
    </row>
    <row r="17" spans="1:7" x14ac:dyDescent="0.25">
      <c r="A17" s="36"/>
      <c r="B17" s="44"/>
      <c r="C17" s="45"/>
      <c r="G17" s="36"/>
    </row>
    <row r="18" spans="1:7" x14ac:dyDescent="0.25">
      <c r="A18" s="36"/>
      <c r="B18" s="36"/>
      <c r="C18" s="36"/>
      <c r="G18" s="36"/>
    </row>
    <row r="19" spans="1:7" x14ac:dyDescent="0.25">
      <c r="A19" s="36"/>
      <c r="B19" s="36"/>
      <c r="C19" s="36"/>
      <c r="G19" s="36"/>
    </row>
    <row r="20" spans="1:7" x14ac:dyDescent="0.25">
      <c r="A20" s="36"/>
      <c r="B20" s="36"/>
      <c r="C20" s="36"/>
      <c r="G20" s="36"/>
    </row>
    <row r="21" spans="1:7" x14ac:dyDescent="0.25">
      <c r="A21" s="36"/>
      <c r="B21" s="36"/>
      <c r="C21" s="36"/>
      <c r="G21" s="36"/>
    </row>
    <row r="22" spans="1:7" x14ac:dyDescent="0.25">
      <c r="A22" s="36"/>
      <c r="B22" s="36"/>
      <c r="C22" s="36"/>
      <c r="G22" s="36"/>
    </row>
    <row r="23" spans="1:7" x14ac:dyDescent="0.25">
      <c r="A23" s="36"/>
      <c r="B23" s="36"/>
      <c r="C23" s="36"/>
      <c r="G23" s="36"/>
    </row>
    <row r="24" spans="1:7" x14ac:dyDescent="0.25">
      <c r="A24" s="36"/>
      <c r="B24" s="36"/>
      <c r="C24" s="36"/>
      <c r="G24" s="36"/>
    </row>
    <row r="25" spans="1:7" x14ac:dyDescent="0.25">
      <c r="A25" s="36"/>
      <c r="B25" s="36"/>
      <c r="C25" s="36"/>
      <c r="G25" s="36"/>
    </row>
    <row r="26" spans="1:7" x14ac:dyDescent="0.25">
      <c r="A26" s="36"/>
      <c r="B26" s="36"/>
      <c r="C26" s="36"/>
      <c r="G26" s="36"/>
    </row>
    <row r="27" spans="1:7" ht="16.5" customHeight="1" x14ac:dyDescent="0.25">
      <c r="A27" s="36"/>
      <c r="B27" s="36"/>
      <c r="C27" s="36"/>
      <c r="G27" s="36"/>
    </row>
    <row r="28" spans="1:7" ht="16.5" customHeight="1" x14ac:dyDescent="0.25">
      <c r="A28" s="36"/>
      <c r="B28" s="36"/>
      <c r="C28" s="36"/>
      <c r="G28" s="36"/>
    </row>
    <row r="29" spans="1:7" ht="16.5" customHeight="1" x14ac:dyDescent="0.25">
      <c r="B29" s="38"/>
      <c r="C29" s="39"/>
      <c r="G29" s="36"/>
    </row>
    <row r="30" spans="1:7" ht="15.75" customHeight="1" x14ac:dyDescent="0.25">
      <c r="G30" s="36"/>
    </row>
    <row r="31" spans="1:7" ht="16.5" customHeight="1" x14ac:dyDescent="0.25">
      <c r="G31" s="36"/>
    </row>
    <row r="32" spans="1:7" x14ac:dyDescent="0.25">
      <c r="G32" s="36"/>
    </row>
    <row r="33" spans="7:7" x14ac:dyDescent="0.25">
      <c r="G33" s="36"/>
    </row>
    <row r="34" spans="7:7" x14ac:dyDescent="0.25">
      <c r="G34" s="36"/>
    </row>
    <row r="35" spans="7:7" x14ac:dyDescent="0.25">
      <c r="G35" s="36"/>
    </row>
    <row r="36" spans="7:7" x14ac:dyDescent="0.25">
      <c r="G36" s="36"/>
    </row>
    <row r="37" spans="7:7" x14ac:dyDescent="0.25">
      <c r="G37" s="36"/>
    </row>
    <row r="38" spans="7:7" x14ac:dyDescent="0.25">
      <c r="G38" s="36"/>
    </row>
    <row r="39" spans="7:7" x14ac:dyDescent="0.25">
      <c r="G39" s="36"/>
    </row>
    <row r="40" spans="7:7" x14ac:dyDescent="0.25">
      <c r="G40" s="36"/>
    </row>
    <row r="41" spans="7:7" x14ac:dyDescent="0.25">
      <c r="G41" s="36"/>
    </row>
    <row r="42" spans="7:7" x14ac:dyDescent="0.25">
      <c r="G42" s="36"/>
    </row>
    <row r="43" spans="7:7" x14ac:dyDescent="0.25">
      <c r="G43" s="36"/>
    </row>
    <row r="44" spans="7:7" x14ac:dyDescent="0.25">
      <c r="G44" s="36"/>
    </row>
    <row r="45" spans="7:7" x14ac:dyDescent="0.25">
      <c r="G45" s="36"/>
    </row>
    <row r="46" spans="7:7" x14ac:dyDescent="0.25">
      <c r="G46" s="36"/>
    </row>
    <row r="47" spans="7:7" x14ac:dyDescent="0.25">
      <c r="G47" s="36"/>
    </row>
    <row r="48" spans="7:7" x14ac:dyDescent="0.25">
      <c r="G48" s="36"/>
    </row>
    <row r="49" spans="7:7" x14ac:dyDescent="0.25">
      <c r="G49" s="36"/>
    </row>
    <row r="50" spans="7:7" x14ac:dyDescent="0.25">
      <c r="G50" s="36"/>
    </row>
    <row r="51" spans="7:7" x14ac:dyDescent="0.25">
      <c r="G51" s="36"/>
    </row>
    <row r="52" spans="7:7" x14ac:dyDescent="0.25">
      <c r="G52" s="36"/>
    </row>
    <row r="53" spans="7:7" x14ac:dyDescent="0.25">
      <c r="G53" s="36"/>
    </row>
    <row r="54" spans="7:7" x14ac:dyDescent="0.25">
      <c r="G54" s="36"/>
    </row>
    <row r="55" spans="7:7" x14ac:dyDescent="0.25">
      <c r="G55" s="36"/>
    </row>
    <row r="56" spans="7:7" x14ac:dyDescent="0.25">
      <c r="G56" s="36"/>
    </row>
    <row r="57" spans="7:7" x14ac:dyDescent="0.25">
      <c r="G57" s="36"/>
    </row>
    <row r="58" spans="7:7" x14ac:dyDescent="0.25">
      <c r="G58" s="36"/>
    </row>
    <row r="59" spans="7:7" x14ac:dyDescent="0.25">
      <c r="G59" s="36"/>
    </row>
    <row r="60" spans="7:7" x14ac:dyDescent="0.25">
      <c r="G60" s="36"/>
    </row>
    <row r="61" spans="7:7" x14ac:dyDescent="0.25">
      <c r="G61" s="36"/>
    </row>
    <row r="62" spans="7:7" x14ac:dyDescent="0.25">
      <c r="G62" s="36"/>
    </row>
    <row r="63" spans="7:7" x14ac:dyDescent="0.25">
      <c r="G63" s="36"/>
    </row>
    <row r="64" spans="7:7" x14ac:dyDescent="0.25">
      <c r="G64" s="36"/>
    </row>
    <row r="65" spans="7:7" x14ac:dyDescent="0.25">
      <c r="G65" s="36"/>
    </row>
    <row r="66" spans="7:7" x14ac:dyDescent="0.25">
      <c r="G66" s="36"/>
    </row>
    <row r="67" spans="7:7" x14ac:dyDescent="0.25">
      <c r="G67" s="36"/>
    </row>
    <row r="68" spans="7:7" x14ac:dyDescent="0.25">
      <c r="G68" s="36"/>
    </row>
    <row r="69" spans="7:7" x14ac:dyDescent="0.25">
      <c r="G69" s="36"/>
    </row>
    <row r="70" spans="7:7" x14ac:dyDescent="0.25">
      <c r="G70" s="36"/>
    </row>
    <row r="71" spans="7:7" x14ac:dyDescent="0.25">
      <c r="G71" s="36"/>
    </row>
    <row r="72" spans="7:7" x14ac:dyDescent="0.25">
      <c r="G72" s="36"/>
    </row>
    <row r="73" spans="7:7" x14ac:dyDescent="0.25">
      <c r="G73" s="36"/>
    </row>
    <row r="74" spans="7:7" x14ac:dyDescent="0.25">
      <c r="G74" s="36"/>
    </row>
    <row r="75" spans="7:7" x14ac:dyDescent="0.25">
      <c r="G75" s="36"/>
    </row>
    <row r="76" spans="7:7" x14ac:dyDescent="0.25">
      <c r="G76" s="36"/>
    </row>
    <row r="77" spans="7:7" x14ac:dyDescent="0.25">
      <c r="G77" s="36"/>
    </row>
    <row r="78" spans="7:7" x14ac:dyDescent="0.25">
      <c r="G78" s="36"/>
    </row>
    <row r="79" spans="7:7" x14ac:dyDescent="0.25">
      <c r="G79" s="36"/>
    </row>
    <row r="80" spans="7:7" x14ac:dyDescent="0.25">
      <c r="G80" s="36"/>
    </row>
    <row r="81" spans="7:7" x14ac:dyDescent="0.25">
      <c r="G81" s="36"/>
    </row>
    <row r="82" spans="7:7" x14ac:dyDescent="0.25">
      <c r="G82" s="36"/>
    </row>
    <row r="83" spans="7:7" x14ac:dyDescent="0.25">
      <c r="G83" s="36"/>
    </row>
    <row r="84" spans="7:7" x14ac:dyDescent="0.25">
      <c r="G84" s="36"/>
    </row>
    <row r="85" spans="7:7" x14ac:dyDescent="0.25">
      <c r="G85" s="36"/>
    </row>
    <row r="86" spans="7:7" x14ac:dyDescent="0.25">
      <c r="G86" s="36"/>
    </row>
    <row r="87" spans="7:7" x14ac:dyDescent="0.25">
      <c r="G87" s="36"/>
    </row>
    <row r="88" spans="7:7" x14ac:dyDescent="0.25">
      <c r="G88" s="36"/>
    </row>
    <row r="89" spans="7:7" x14ac:dyDescent="0.25">
      <c r="G89" s="36"/>
    </row>
    <row r="90" spans="7:7" x14ac:dyDescent="0.25">
      <c r="G90" s="36"/>
    </row>
    <row r="91" spans="7:7" x14ac:dyDescent="0.25">
      <c r="G91" s="36"/>
    </row>
    <row r="92" spans="7:7" x14ac:dyDescent="0.25">
      <c r="G92" s="36"/>
    </row>
    <row r="93" spans="7:7" x14ac:dyDescent="0.25">
      <c r="G93" s="36"/>
    </row>
    <row r="94" spans="7:7" x14ac:dyDescent="0.25">
      <c r="G94" s="36"/>
    </row>
    <row r="95" spans="7:7" x14ac:dyDescent="0.25">
      <c r="G95" s="36"/>
    </row>
    <row r="96" spans="7:7" x14ac:dyDescent="0.25">
      <c r="G96" s="36"/>
    </row>
    <row r="97" spans="7:7" x14ac:dyDescent="0.25">
      <c r="G97" s="36"/>
    </row>
    <row r="98" spans="7:7" x14ac:dyDescent="0.25">
      <c r="G98" s="36"/>
    </row>
    <row r="99" spans="7:7" x14ac:dyDescent="0.25">
      <c r="G99" s="36"/>
    </row>
    <row r="100" spans="7:7" x14ac:dyDescent="0.25">
      <c r="G100" s="36"/>
    </row>
    <row r="101" spans="7:7" x14ac:dyDescent="0.25">
      <c r="G101" s="36"/>
    </row>
    <row r="102" spans="7:7" x14ac:dyDescent="0.25">
      <c r="G102" s="36"/>
    </row>
    <row r="103" spans="7:7" x14ac:dyDescent="0.25">
      <c r="G103" s="36"/>
    </row>
    <row r="104" spans="7:7" x14ac:dyDescent="0.25">
      <c r="G104" s="36"/>
    </row>
    <row r="105" spans="7:7" x14ac:dyDescent="0.25">
      <c r="G105" s="36"/>
    </row>
    <row r="106" spans="7:7" x14ac:dyDescent="0.25">
      <c r="G106" s="36"/>
    </row>
    <row r="107" spans="7:7" x14ac:dyDescent="0.25">
      <c r="G107" s="36"/>
    </row>
    <row r="108" spans="7:7" x14ac:dyDescent="0.25">
      <c r="G108" s="36"/>
    </row>
    <row r="109" spans="7:7" x14ac:dyDescent="0.25">
      <c r="G109" s="36"/>
    </row>
    <row r="110" spans="7:7" x14ac:dyDescent="0.25">
      <c r="G110" s="36"/>
    </row>
    <row r="111" spans="7:7" x14ac:dyDescent="0.25">
      <c r="G111" s="36"/>
    </row>
    <row r="112" spans="7:7" x14ac:dyDescent="0.25">
      <c r="G112" s="36"/>
    </row>
    <row r="113" spans="7:7" x14ac:dyDescent="0.25">
      <c r="G113" s="36"/>
    </row>
    <row r="114" spans="7:7" x14ac:dyDescent="0.25">
      <c r="G114" s="36"/>
    </row>
    <row r="115" spans="7:7" x14ac:dyDescent="0.25">
      <c r="G115" s="36"/>
    </row>
    <row r="116" spans="7:7" x14ac:dyDescent="0.25">
      <c r="G116" s="36"/>
    </row>
    <row r="117" spans="7:7" x14ac:dyDescent="0.25">
      <c r="G117" s="36"/>
    </row>
    <row r="118" spans="7:7" x14ac:dyDescent="0.25">
      <c r="G118" s="36"/>
    </row>
    <row r="119" spans="7:7" x14ac:dyDescent="0.25">
      <c r="G119" s="36"/>
    </row>
    <row r="120" spans="7:7" x14ac:dyDescent="0.25">
      <c r="G120" s="36"/>
    </row>
    <row r="121" spans="7:7" x14ac:dyDescent="0.25">
      <c r="G121" s="36"/>
    </row>
    <row r="122" spans="7:7" x14ac:dyDescent="0.25">
      <c r="G122" s="36"/>
    </row>
    <row r="123" spans="7:7" x14ac:dyDescent="0.25">
      <c r="G123" s="36"/>
    </row>
    <row r="124" spans="7:7" x14ac:dyDescent="0.25">
      <c r="G124" s="36"/>
    </row>
    <row r="125" spans="7:7" x14ac:dyDescent="0.25">
      <c r="G125" s="36"/>
    </row>
    <row r="126" spans="7:7" x14ac:dyDescent="0.25">
      <c r="G126" s="36"/>
    </row>
    <row r="127" spans="7:7" x14ac:dyDescent="0.25">
      <c r="G127" s="36"/>
    </row>
    <row r="128" spans="7:7" x14ac:dyDescent="0.25">
      <c r="G128" s="36"/>
    </row>
    <row r="129" spans="7:7" x14ac:dyDescent="0.25">
      <c r="G129" s="36"/>
    </row>
    <row r="130" spans="7:7" x14ac:dyDescent="0.25">
      <c r="G130" s="36"/>
    </row>
    <row r="131" spans="7:7" x14ac:dyDescent="0.25">
      <c r="G131" s="36"/>
    </row>
    <row r="132" spans="7:7" x14ac:dyDescent="0.25">
      <c r="G132" s="36"/>
    </row>
    <row r="133" spans="7:7" x14ac:dyDescent="0.25">
      <c r="G133" s="36"/>
    </row>
    <row r="134" spans="7:7" x14ac:dyDescent="0.25">
      <c r="G134" s="36"/>
    </row>
    <row r="135" spans="7:7" x14ac:dyDescent="0.25">
      <c r="G135" s="36"/>
    </row>
    <row r="136" spans="7:7" x14ac:dyDescent="0.25">
      <c r="G136" s="36"/>
    </row>
    <row r="137" spans="7:7" x14ac:dyDescent="0.25">
      <c r="G137" s="36"/>
    </row>
    <row r="138" spans="7:7" x14ac:dyDescent="0.25">
      <c r="G138" s="36"/>
    </row>
    <row r="139" spans="7:7" x14ac:dyDescent="0.25">
      <c r="G139" s="36"/>
    </row>
    <row r="140" spans="7:7" x14ac:dyDescent="0.25">
      <c r="G140" s="36"/>
    </row>
    <row r="141" spans="7:7" x14ac:dyDescent="0.25">
      <c r="G141" s="36"/>
    </row>
    <row r="142" spans="7:7" x14ac:dyDescent="0.25">
      <c r="G142" s="36"/>
    </row>
    <row r="143" spans="7:7" x14ac:dyDescent="0.25">
      <c r="G143" s="36"/>
    </row>
    <row r="144" spans="7:7" x14ac:dyDescent="0.25">
      <c r="G144" s="36"/>
    </row>
    <row r="145" spans="7:7" x14ac:dyDescent="0.25">
      <c r="G145" s="36"/>
    </row>
    <row r="146" spans="7:7" x14ac:dyDescent="0.25">
      <c r="G146" s="36"/>
    </row>
    <row r="147" spans="7:7" x14ac:dyDescent="0.25">
      <c r="G147" s="36"/>
    </row>
    <row r="148" spans="7:7" x14ac:dyDescent="0.25">
      <c r="G148" s="36"/>
    </row>
    <row r="149" spans="7:7" x14ac:dyDescent="0.25">
      <c r="G149" s="36"/>
    </row>
    <row r="150" spans="7:7" x14ac:dyDescent="0.25">
      <c r="G150" s="36"/>
    </row>
    <row r="151" spans="7:7" x14ac:dyDescent="0.25">
      <c r="G151" s="36"/>
    </row>
    <row r="152" spans="7:7" x14ac:dyDescent="0.25">
      <c r="G152" s="36"/>
    </row>
    <row r="153" spans="7:7" x14ac:dyDescent="0.25">
      <c r="G153" s="36"/>
    </row>
    <row r="154" spans="7:7" x14ac:dyDescent="0.25">
      <c r="G154" s="36"/>
    </row>
    <row r="155" spans="7:7" x14ac:dyDescent="0.25">
      <c r="G155" s="36"/>
    </row>
    <row r="156" spans="7:7" x14ac:dyDescent="0.25">
      <c r="G156" s="36"/>
    </row>
    <row r="157" spans="7:7" x14ac:dyDescent="0.25">
      <c r="G157" s="36"/>
    </row>
    <row r="158" spans="7:7" x14ac:dyDescent="0.25">
      <c r="G158" s="36"/>
    </row>
    <row r="159" spans="7:7" x14ac:dyDescent="0.25">
      <c r="G159" s="36"/>
    </row>
    <row r="160" spans="7:7" x14ac:dyDescent="0.25">
      <c r="G160" s="36"/>
    </row>
    <row r="161" spans="7:7" x14ac:dyDescent="0.25">
      <c r="G161" s="36"/>
    </row>
    <row r="162" spans="7:7" x14ac:dyDescent="0.25">
      <c r="G162" s="36"/>
    </row>
    <row r="163" spans="7:7" x14ac:dyDescent="0.25">
      <c r="G163" s="36"/>
    </row>
    <row r="164" spans="7:7" x14ac:dyDescent="0.25">
      <c r="G164" s="36"/>
    </row>
    <row r="165" spans="7:7" x14ac:dyDescent="0.25">
      <c r="G165" s="36"/>
    </row>
    <row r="166" spans="7:7" x14ac:dyDescent="0.25">
      <c r="G166" s="36"/>
    </row>
    <row r="167" spans="7:7" x14ac:dyDescent="0.25">
      <c r="G167" s="36"/>
    </row>
    <row r="168" spans="7:7" x14ac:dyDescent="0.25">
      <c r="G168" s="36"/>
    </row>
    <row r="169" spans="7:7" x14ac:dyDescent="0.25">
      <c r="G169" s="36"/>
    </row>
    <row r="170" spans="7:7" x14ac:dyDescent="0.25">
      <c r="G170" s="36"/>
    </row>
    <row r="171" spans="7:7" x14ac:dyDescent="0.25">
      <c r="G171" s="36"/>
    </row>
    <row r="172" spans="7:7" x14ac:dyDescent="0.25">
      <c r="G172" s="36"/>
    </row>
    <row r="173" spans="7:7" x14ac:dyDescent="0.25">
      <c r="G173" s="36"/>
    </row>
    <row r="174" spans="7:7" x14ac:dyDescent="0.25">
      <c r="G174" s="36"/>
    </row>
    <row r="175" spans="7:7" x14ac:dyDescent="0.25">
      <c r="G175" s="36"/>
    </row>
    <row r="176" spans="7:7" x14ac:dyDescent="0.25">
      <c r="G176" s="36"/>
    </row>
    <row r="177" spans="7:7" x14ac:dyDescent="0.25">
      <c r="G177" s="36"/>
    </row>
    <row r="178" spans="7:7" x14ac:dyDescent="0.25">
      <c r="G178" s="36"/>
    </row>
    <row r="179" spans="7:7" x14ac:dyDescent="0.25">
      <c r="G179" s="36"/>
    </row>
    <row r="180" spans="7:7" x14ac:dyDescent="0.25">
      <c r="G180" s="36"/>
    </row>
    <row r="181" spans="7:7" x14ac:dyDescent="0.25">
      <c r="G181" s="36"/>
    </row>
    <row r="182" spans="7:7" x14ac:dyDescent="0.25">
      <c r="G182" s="36"/>
    </row>
    <row r="183" spans="7:7" x14ac:dyDescent="0.25">
      <c r="G183" s="36"/>
    </row>
    <row r="184" spans="7:7" x14ac:dyDescent="0.25">
      <c r="G184" s="36"/>
    </row>
    <row r="185" spans="7:7" x14ac:dyDescent="0.25">
      <c r="G185" s="36"/>
    </row>
    <row r="186" spans="7:7" x14ac:dyDescent="0.25">
      <c r="G186" s="36"/>
    </row>
    <row r="187" spans="7:7" x14ac:dyDescent="0.25">
      <c r="G187" s="36"/>
    </row>
    <row r="188" spans="7:7" x14ac:dyDescent="0.25">
      <c r="G188" s="36"/>
    </row>
    <row r="189" spans="7:7" x14ac:dyDescent="0.25">
      <c r="G189" s="36"/>
    </row>
    <row r="190" spans="7:7" x14ac:dyDescent="0.25">
      <c r="G190" s="36"/>
    </row>
    <row r="191" spans="7:7" x14ac:dyDescent="0.25">
      <c r="G191" s="36"/>
    </row>
    <row r="192" spans="7:7" x14ac:dyDescent="0.25">
      <c r="G192" s="36"/>
    </row>
    <row r="193" spans="7:7" x14ac:dyDescent="0.25">
      <c r="G193" s="36"/>
    </row>
    <row r="194" spans="7:7" x14ac:dyDescent="0.25">
      <c r="G194" s="36"/>
    </row>
    <row r="195" spans="7:7" x14ac:dyDescent="0.25">
      <c r="G195" s="36"/>
    </row>
    <row r="196" spans="7:7" x14ac:dyDescent="0.25">
      <c r="G196" s="36"/>
    </row>
    <row r="197" spans="7:7" x14ac:dyDescent="0.25">
      <c r="G197" s="36"/>
    </row>
    <row r="198" spans="7:7" x14ac:dyDescent="0.25">
      <c r="G198" s="36"/>
    </row>
    <row r="199" spans="7:7" x14ac:dyDescent="0.25">
      <c r="G199" s="36"/>
    </row>
    <row r="200" spans="7:7" x14ac:dyDescent="0.25">
      <c r="G200" s="36"/>
    </row>
    <row r="201" spans="7:7" x14ac:dyDescent="0.25">
      <c r="G201" s="36"/>
    </row>
    <row r="202" spans="7:7" x14ac:dyDescent="0.25">
      <c r="G202" s="36"/>
    </row>
    <row r="203" spans="7:7" x14ac:dyDescent="0.25">
      <c r="G203" s="36"/>
    </row>
    <row r="204" spans="7:7" x14ac:dyDescent="0.25">
      <c r="G204" s="36"/>
    </row>
    <row r="205" spans="7:7" x14ac:dyDescent="0.25">
      <c r="G205" s="36"/>
    </row>
    <row r="206" spans="7:7" x14ac:dyDescent="0.25">
      <c r="G206" s="36"/>
    </row>
    <row r="207" spans="7:7" x14ac:dyDescent="0.25">
      <c r="G207" s="36"/>
    </row>
    <row r="208" spans="7:7" x14ac:dyDescent="0.25">
      <c r="G208" s="36"/>
    </row>
    <row r="209" spans="7:7" x14ac:dyDescent="0.25">
      <c r="G209" s="36"/>
    </row>
    <row r="210" spans="7:7" x14ac:dyDescent="0.25">
      <c r="G210" s="36"/>
    </row>
    <row r="211" spans="7:7" x14ac:dyDescent="0.25">
      <c r="G211" s="36"/>
    </row>
    <row r="212" spans="7:7" x14ac:dyDescent="0.25">
      <c r="G212" s="36"/>
    </row>
    <row r="213" spans="7:7" x14ac:dyDescent="0.25">
      <c r="G213" s="36"/>
    </row>
    <row r="214" spans="7:7" x14ac:dyDescent="0.25">
      <c r="G214" s="36"/>
    </row>
    <row r="215" spans="7:7" x14ac:dyDescent="0.25">
      <c r="G215" s="36"/>
    </row>
    <row r="216" spans="7:7" x14ac:dyDescent="0.25">
      <c r="G216" s="36"/>
    </row>
    <row r="217" spans="7:7" x14ac:dyDescent="0.25">
      <c r="G217" s="36"/>
    </row>
    <row r="218" spans="7:7" x14ac:dyDescent="0.25">
      <c r="G218" s="36"/>
    </row>
    <row r="219" spans="7:7" x14ac:dyDescent="0.25">
      <c r="G219" s="36"/>
    </row>
    <row r="220" spans="7:7" x14ac:dyDescent="0.25">
      <c r="G220" s="36"/>
    </row>
    <row r="221" spans="7:7" x14ac:dyDescent="0.25">
      <c r="G221" s="36"/>
    </row>
    <row r="222" spans="7:7" x14ac:dyDescent="0.25">
      <c r="G222" s="36"/>
    </row>
    <row r="223" spans="7:7" x14ac:dyDescent="0.25">
      <c r="G223" s="36"/>
    </row>
    <row r="224" spans="7:7" x14ac:dyDescent="0.25">
      <c r="G224" s="36"/>
    </row>
    <row r="225" spans="7:7" x14ac:dyDescent="0.25">
      <c r="G225" s="36"/>
    </row>
    <row r="226" spans="7:7" x14ac:dyDescent="0.25">
      <c r="G226" s="36"/>
    </row>
    <row r="227" spans="7:7" x14ac:dyDescent="0.25">
      <c r="G227" s="36"/>
    </row>
    <row r="228" spans="7:7" x14ac:dyDescent="0.25">
      <c r="G228" s="36"/>
    </row>
    <row r="229" spans="7:7" x14ac:dyDescent="0.25">
      <c r="G229" s="36"/>
    </row>
    <row r="230" spans="7:7" x14ac:dyDescent="0.25">
      <c r="G230" s="36"/>
    </row>
    <row r="231" spans="7:7" x14ac:dyDescent="0.25">
      <c r="G231" s="36"/>
    </row>
    <row r="232" spans="7:7" x14ac:dyDescent="0.25">
      <c r="G232" s="36"/>
    </row>
    <row r="233" spans="7:7" x14ac:dyDescent="0.25">
      <c r="G233" s="36"/>
    </row>
    <row r="234" spans="7:7" x14ac:dyDescent="0.25">
      <c r="G234" s="36"/>
    </row>
    <row r="235" spans="7:7" x14ac:dyDescent="0.25">
      <c r="G235" s="36"/>
    </row>
    <row r="236" spans="7:7" x14ac:dyDescent="0.25">
      <c r="G236" s="36"/>
    </row>
    <row r="237" spans="7:7" x14ac:dyDescent="0.25">
      <c r="G237" s="36"/>
    </row>
    <row r="238" spans="7:7" x14ac:dyDescent="0.25">
      <c r="G238" s="36"/>
    </row>
    <row r="239" spans="7:7" x14ac:dyDescent="0.25">
      <c r="G239" s="36"/>
    </row>
    <row r="240" spans="7:7" x14ac:dyDescent="0.25">
      <c r="G240" s="36"/>
    </row>
    <row r="241" spans="7:7" x14ac:dyDescent="0.25">
      <c r="G241" s="36"/>
    </row>
    <row r="242" spans="7:7" x14ac:dyDescent="0.25">
      <c r="G242" s="36"/>
    </row>
    <row r="243" spans="7:7" x14ac:dyDescent="0.25">
      <c r="G243" s="36"/>
    </row>
    <row r="244" spans="7:7" x14ac:dyDescent="0.25">
      <c r="G244" s="36"/>
    </row>
    <row r="245" spans="7:7" x14ac:dyDescent="0.25">
      <c r="G245" s="36"/>
    </row>
    <row r="246" spans="7:7" x14ac:dyDescent="0.25">
      <c r="G246" s="36"/>
    </row>
    <row r="247" spans="7:7" x14ac:dyDescent="0.25">
      <c r="G247" s="36"/>
    </row>
    <row r="248" spans="7:7" x14ac:dyDescent="0.25">
      <c r="G248" s="36"/>
    </row>
    <row r="249" spans="7:7" x14ac:dyDescent="0.25">
      <c r="G249" s="36"/>
    </row>
    <row r="250" spans="7:7" x14ac:dyDescent="0.25">
      <c r="G250" s="36"/>
    </row>
    <row r="251" spans="7:7" x14ac:dyDescent="0.25">
      <c r="G251" s="36"/>
    </row>
    <row r="252" spans="7:7" x14ac:dyDescent="0.25">
      <c r="G252" s="36"/>
    </row>
    <row r="253" spans="7:7" x14ac:dyDescent="0.25">
      <c r="G253" s="36"/>
    </row>
    <row r="254" spans="7:7" x14ac:dyDescent="0.25">
      <c r="G254" s="36"/>
    </row>
    <row r="255" spans="7:7" x14ac:dyDescent="0.25">
      <c r="G255" s="36"/>
    </row>
    <row r="256" spans="7:7" x14ac:dyDescent="0.25">
      <c r="G256" s="36"/>
    </row>
    <row r="257" spans="7:7" x14ac:dyDescent="0.25">
      <c r="G257" s="36"/>
    </row>
    <row r="258" spans="7:7" x14ac:dyDescent="0.25">
      <c r="G258" s="36"/>
    </row>
    <row r="259" spans="7:7" x14ac:dyDescent="0.25">
      <c r="G259" s="36"/>
    </row>
    <row r="260" spans="7:7" x14ac:dyDescent="0.25">
      <c r="G260" s="36"/>
    </row>
    <row r="261" spans="7:7" x14ac:dyDescent="0.25">
      <c r="G261" s="36"/>
    </row>
    <row r="262" spans="7:7" x14ac:dyDescent="0.25">
      <c r="G262" s="36"/>
    </row>
    <row r="263" spans="7:7" x14ac:dyDescent="0.25">
      <c r="G263" s="36"/>
    </row>
    <row r="264" spans="7:7" x14ac:dyDescent="0.25">
      <c r="G264" s="36"/>
    </row>
    <row r="265" spans="7:7" x14ac:dyDescent="0.25">
      <c r="G265" s="36"/>
    </row>
    <row r="266" spans="7:7" x14ac:dyDescent="0.25">
      <c r="G266" s="36"/>
    </row>
    <row r="267" spans="7:7" x14ac:dyDescent="0.25">
      <c r="G267" s="36"/>
    </row>
    <row r="268" spans="7:7" x14ac:dyDescent="0.25">
      <c r="G268" s="36"/>
    </row>
    <row r="269" spans="7:7" x14ac:dyDescent="0.25">
      <c r="G269" s="36"/>
    </row>
    <row r="270" spans="7:7" x14ac:dyDescent="0.25">
      <c r="G270" s="36"/>
    </row>
    <row r="271" spans="7:7" x14ac:dyDescent="0.25">
      <c r="G271" s="36"/>
    </row>
    <row r="272" spans="7:7" x14ac:dyDescent="0.25">
      <c r="G272" s="36"/>
    </row>
    <row r="273" spans="7:7" x14ac:dyDescent="0.25">
      <c r="G273" s="36"/>
    </row>
    <row r="274" spans="7:7" x14ac:dyDescent="0.25">
      <c r="G274" s="36"/>
    </row>
    <row r="275" spans="7:7" x14ac:dyDescent="0.25">
      <c r="G275" s="36"/>
    </row>
    <row r="276" spans="7:7" x14ac:dyDescent="0.25">
      <c r="G276" s="36"/>
    </row>
    <row r="277" spans="7:7" x14ac:dyDescent="0.25">
      <c r="G277" s="36"/>
    </row>
    <row r="278" spans="7:7" x14ac:dyDescent="0.25">
      <c r="G278" s="36"/>
    </row>
    <row r="279" spans="7:7" x14ac:dyDescent="0.25">
      <c r="G279" s="36"/>
    </row>
    <row r="280" spans="7:7" x14ac:dyDescent="0.25">
      <c r="G280" s="36"/>
    </row>
    <row r="281" spans="7:7" x14ac:dyDescent="0.25">
      <c r="G281" s="36"/>
    </row>
    <row r="282" spans="7:7" x14ac:dyDescent="0.25">
      <c r="G282" s="36"/>
    </row>
    <row r="283" spans="7:7" x14ac:dyDescent="0.25">
      <c r="G283" s="36"/>
    </row>
    <row r="284" spans="7:7" x14ac:dyDescent="0.25">
      <c r="G284" s="36"/>
    </row>
    <row r="285" spans="7:7" x14ac:dyDescent="0.25">
      <c r="G285" s="36"/>
    </row>
    <row r="286" spans="7:7" x14ac:dyDescent="0.25">
      <c r="G286" s="36"/>
    </row>
    <row r="287" spans="7:7" x14ac:dyDescent="0.25">
      <c r="G287" s="36"/>
    </row>
    <row r="288" spans="7:7" x14ac:dyDescent="0.25">
      <c r="G288" s="36"/>
    </row>
    <row r="289" spans="7:7" x14ac:dyDescent="0.25">
      <c r="G289" s="36"/>
    </row>
    <row r="290" spans="7:7" x14ac:dyDescent="0.25">
      <c r="G290" s="36"/>
    </row>
    <row r="291" spans="7:7" x14ac:dyDescent="0.25">
      <c r="G291" s="36"/>
    </row>
    <row r="292" spans="7:7" x14ac:dyDescent="0.25">
      <c r="G292" s="36"/>
    </row>
    <row r="293" spans="7:7" x14ac:dyDescent="0.25">
      <c r="G293" s="36"/>
    </row>
    <row r="294" spans="7:7" x14ac:dyDescent="0.25">
      <c r="G294" s="36"/>
    </row>
    <row r="295" spans="7:7" x14ac:dyDescent="0.25">
      <c r="G295" s="36"/>
    </row>
    <row r="296" spans="7:7" x14ac:dyDescent="0.25">
      <c r="G296" s="36"/>
    </row>
    <row r="297" spans="7:7" x14ac:dyDescent="0.25">
      <c r="G297" s="36"/>
    </row>
    <row r="298" spans="7:7" x14ac:dyDescent="0.25">
      <c r="G298" s="36"/>
    </row>
    <row r="299" spans="7:7" x14ac:dyDescent="0.25">
      <c r="G299" s="36"/>
    </row>
    <row r="300" spans="7:7" x14ac:dyDescent="0.25">
      <c r="G300" s="36"/>
    </row>
    <row r="301" spans="7:7" x14ac:dyDescent="0.25">
      <c r="G301" s="36"/>
    </row>
    <row r="302" spans="7:7" x14ac:dyDescent="0.25">
      <c r="G302" s="36"/>
    </row>
    <row r="303" spans="7:7" x14ac:dyDescent="0.25">
      <c r="G303" s="36"/>
    </row>
    <row r="304" spans="7:7" x14ac:dyDescent="0.25">
      <c r="G304" s="36"/>
    </row>
    <row r="305" spans="7:7" x14ac:dyDescent="0.25">
      <c r="G305" s="36"/>
    </row>
    <row r="306" spans="7:7" x14ac:dyDescent="0.25">
      <c r="G306" s="36"/>
    </row>
    <row r="307" spans="7:7" x14ac:dyDescent="0.25">
      <c r="G307" s="36"/>
    </row>
    <row r="308" spans="7:7" x14ac:dyDescent="0.25">
      <c r="G308" s="36"/>
    </row>
    <row r="309" spans="7:7" x14ac:dyDescent="0.25">
      <c r="G309" s="36"/>
    </row>
    <row r="310" spans="7:7" x14ac:dyDescent="0.25">
      <c r="G310" s="36"/>
    </row>
    <row r="311" spans="7:7" x14ac:dyDescent="0.25">
      <c r="G311" s="36"/>
    </row>
    <row r="312" spans="7:7" x14ac:dyDescent="0.25">
      <c r="G312" s="36"/>
    </row>
    <row r="313" spans="7:7" x14ac:dyDescent="0.25">
      <c r="G313" s="36"/>
    </row>
    <row r="314" spans="7:7" x14ac:dyDescent="0.25">
      <c r="G314" s="36"/>
    </row>
    <row r="315" spans="7:7" x14ac:dyDescent="0.25">
      <c r="G315" s="36"/>
    </row>
    <row r="316" spans="7:7" x14ac:dyDescent="0.25">
      <c r="G316" s="36"/>
    </row>
    <row r="317" spans="7:7" x14ac:dyDescent="0.25">
      <c r="G317" s="36"/>
    </row>
    <row r="318" spans="7:7" x14ac:dyDescent="0.25">
      <c r="G318" s="36"/>
    </row>
    <row r="319" spans="7:7" x14ac:dyDescent="0.25">
      <c r="G319" s="36"/>
    </row>
    <row r="320" spans="7:7" x14ac:dyDescent="0.25">
      <c r="G320" s="36"/>
    </row>
    <row r="321" spans="7:7" x14ac:dyDescent="0.25">
      <c r="G321" s="36"/>
    </row>
    <row r="322" spans="7:7" x14ac:dyDescent="0.25">
      <c r="G322" s="36"/>
    </row>
    <row r="323" spans="7:7" x14ac:dyDescent="0.25">
      <c r="G323" s="36"/>
    </row>
    <row r="324" spans="7:7" x14ac:dyDescent="0.25">
      <c r="G324" s="36"/>
    </row>
    <row r="325" spans="7:7" x14ac:dyDescent="0.25">
      <c r="G325" s="36"/>
    </row>
    <row r="326" spans="7:7" x14ac:dyDescent="0.25">
      <c r="G326" s="36"/>
    </row>
    <row r="327" spans="7:7" x14ac:dyDescent="0.25">
      <c r="G327" s="36"/>
    </row>
    <row r="328" spans="7:7" x14ac:dyDescent="0.25">
      <c r="G328" s="36"/>
    </row>
    <row r="329" spans="7:7" x14ac:dyDescent="0.25">
      <c r="G329" s="36"/>
    </row>
    <row r="330" spans="7:7" x14ac:dyDescent="0.25">
      <c r="G330" s="36"/>
    </row>
    <row r="331" spans="7:7" x14ac:dyDescent="0.25">
      <c r="G331" s="36"/>
    </row>
    <row r="332" spans="7:7" x14ac:dyDescent="0.25">
      <c r="G332" s="36"/>
    </row>
    <row r="333" spans="7:7" x14ac:dyDescent="0.25">
      <c r="G333" s="36"/>
    </row>
    <row r="334" spans="7:7" x14ac:dyDescent="0.25">
      <c r="G334" s="36"/>
    </row>
    <row r="335" spans="7:7" x14ac:dyDescent="0.25">
      <c r="G335" s="36"/>
    </row>
    <row r="336" spans="7:7" x14ac:dyDescent="0.25">
      <c r="G336" s="36"/>
    </row>
    <row r="337" spans="7:7" x14ac:dyDescent="0.25">
      <c r="G337" s="36"/>
    </row>
    <row r="338" spans="7:7" x14ac:dyDescent="0.25">
      <c r="G338" s="36"/>
    </row>
    <row r="339" spans="7:7" x14ac:dyDescent="0.25">
      <c r="G339" s="36"/>
    </row>
    <row r="340" spans="7:7" x14ac:dyDescent="0.25">
      <c r="G340" s="36"/>
    </row>
    <row r="341" spans="7:7" x14ac:dyDescent="0.25">
      <c r="G341" s="36"/>
    </row>
    <row r="342" spans="7:7" x14ac:dyDescent="0.25">
      <c r="G342" s="36"/>
    </row>
    <row r="343" spans="7:7" x14ac:dyDescent="0.25">
      <c r="G343" s="36"/>
    </row>
    <row r="344" spans="7:7" x14ac:dyDescent="0.25">
      <c r="G344" s="36"/>
    </row>
    <row r="345" spans="7:7" x14ac:dyDescent="0.25">
      <c r="G345" s="36"/>
    </row>
    <row r="346" spans="7:7" x14ac:dyDescent="0.25">
      <c r="G346" s="36"/>
    </row>
    <row r="347" spans="7:7" x14ac:dyDescent="0.25">
      <c r="G347" s="36"/>
    </row>
    <row r="348" spans="7:7" x14ac:dyDescent="0.25">
      <c r="G348" s="36"/>
    </row>
    <row r="349" spans="7:7" x14ac:dyDescent="0.25">
      <c r="G349" s="36"/>
    </row>
    <row r="350" spans="7:7" x14ac:dyDescent="0.25">
      <c r="G350" s="36"/>
    </row>
    <row r="351" spans="7:7" x14ac:dyDescent="0.25">
      <c r="G351" s="36"/>
    </row>
    <row r="352" spans="7:7" x14ac:dyDescent="0.25">
      <c r="G352" s="36"/>
    </row>
    <row r="353" spans="7:7" x14ac:dyDescent="0.25">
      <c r="G353" s="36"/>
    </row>
    <row r="354" spans="7:7" x14ac:dyDescent="0.25">
      <c r="G354" s="36"/>
    </row>
    <row r="355" spans="7:7" x14ac:dyDescent="0.25">
      <c r="G355" s="36"/>
    </row>
    <row r="356" spans="7:7" x14ac:dyDescent="0.25">
      <c r="G356" s="36"/>
    </row>
    <row r="357" spans="7:7" x14ac:dyDescent="0.25">
      <c r="G357" s="36"/>
    </row>
    <row r="358" spans="7:7" x14ac:dyDescent="0.25">
      <c r="G358" s="36"/>
    </row>
    <row r="359" spans="7:7" x14ac:dyDescent="0.25">
      <c r="G359" s="36"/>
    </row>
    <row r="360" spans="7:7" x14ac:dyDescent="0.25">
      <c r="G360" s="36"/>
    </row>
    <row r="361" spans="7:7" x14ac:dyDescent="0.25">
      <c r="G361" s="36"/>
    </row>
    <row r="362" spans="7:7" x14ac:dyDescent="0.25">
      <c r="G362" s="36"/>
    </row>
    <row r="363" spans="7:7" x14ac:dyDescent="0.25">
      <c r="G363" s="36"/>
    </row>
    <row r="364" spans="7:7" x14ac:dyDescent="0.25">
      <c r="G364" s="36"/>
    </row>
    <row r="365" spans="7:7" x14ac:dyDescent="0.25">
      <c r="G365" s="36"/>
    </row>
    <row r="366" spans="7:7" x14ac:dyDescent="0.25">
      <c r="G366" s="36"/>
    </row>
    <row r="367" spans="7:7" x14ac:dyDescent="0.25">
      <c r="G367" s="36"/>
    </row>
    <row r="368" spans="7:7" x14ac:dyDescent="0.25">
      <c r="G368" s="36"/>
    </row>
    <row r="369" spans="7:7" x14ac:dyDescent="0.25">
      <c r="G369" s="36"/>
    </row>
    <row r="370" spans="7:7" x14ac:dyDescent="0.25">
      <c r="G370" s="36"/>
    </row>
    <row r="371" spans="7:7" x14ac:dyDescent="0.25">
      <c r="G371" s="36"/>
    </row>
    <row r="372" spans="7:7" x14ac:dyDescent="0.25">
      <c r="G372" s="36"/>
    </row>
    <row r="373" spans="7:7" x14ac:dyDescent="0.25">
      <c r="G373" s="36"/>
    </row>
    <row r="374" spans="7:7" x14ac:dyDescent="0.25">
      <c r="G374" s="36"/>
    </row>
    <row r="375" spans="7:7" x14ac:dyDescent="0.25">
      <c r="G375" s="36"/>
    </row>
    <row r="376" spans="7:7" x14ac:dyDescent="0.25">
      <c r="G376" s="36"/>
    </row>
    <row r="377" spans="7:7" x14ac:dyDescent="0.25">
      <c r="G377" s="36"/>
    </row>
    <row r="378" spans="7:7" x14ac:dyDescent="0.25">
      <c r="G378" s="36"/>
    </row>
    <row r="379" spans="7:7" x14ac:dyDescent="0.25">
      <c r="G379" s="36"/>
    </row>
    <row r="380" spans="7:7" x14ac:dyDescent="0.25">
      <c r="G380" s="36"/>
    </row>
    <row r="381" spans="7:7" x14ac:dyDescent="0.25">
      <c r="G381" s="36"/>
    </row>
    <row r="382" spans="7:7" x14ac:dyDescent="0.25">
      <c r="G382" s="36"/>
    </row>
    <row r="383" spans="7:7" x14ac:dyDescent="0.25">
      <c r="G383" s="36"/>
    </row>
    <row r="384" spans="7:7" x14ac:dyDescent="0.25">
      <c r="G384" s="36"/>
    </row>
    <row r="385" spans="7:7" x14ac:dyDescent="0.25">
      <c r="G385" s="36"/>
    </row>
    <row r="386" spans="7:7" x14ac:dyDescent="0.25">
      <c r="G386" s="36"/>
    </row>
    <row r="387" spans="7:7" x14ac:dyDescent="0.25">
      <c r="G387" s="36"/>
    </row>
    <row r="388" spans="7:7" x14ac:dyDescent="0.25">
      <c r="G388" s="36"/>
    </row>
    <row r="389" spans="7:7" x14ac:dyDescent="0.25">
      <c r="G389" s="36"/>
    </row>
    <row r="390" spans="7:7" x14ac:dyDescent="0.25">
      <c r="G390" s="36"/>
    </row>
    <row r="391" spans="7:7" x14ac:dyDescent="0.25">
      <c r="G391" s="36"/>
    </row>
    <row r="392" spans="7:7" x14ac:dyDescent="0.25">
      <c r="G392" s="36"/>
    </row>
    <row r="393" spans="7:7" x14ac:dyDescent="0.25">
      <c r="G393" s="36"/>
    </row>
    <row r="394" spans="7:7" x14ac:dyDescent="0.25">
      <c r="G394" s="36"/>
    </row>
    <row r="395" spans="7:7" x14ac:dyDescent="0.25">
      <c r="G395" s="36"/>
    </row>
    <row r="396" spans="7:7" x14ac:dyDescent="0.25">
      <c r="G396" s="36"/>
    </row>
    <row r="397" spans="7:7" x14ac:dyDescent="0.25">
      <c r="G397" s="36"/>
    </row>
    <row r="398" spans="7:7" x14ac:dyDescent="0.25">
      <c r="G398" s="36"/>
    </row>
    <row r="399" spans="7:7" x14ac:dyDescent="0.25">
      <c r="G399" s="36"/>
    </row>
    <row r="400" spans="7:7" x14ac:dyDescent="0.25">
      <c r="G400" s="36"/>
    </row>
    <row r="401" spans="7:7" x14ac:dyDescent="0.25">
      <c r="G401" s="36"/>
    </row>
    <row r="402" spans="7:7" x14ac:dyDescent="0.25">
      <c r="G402" s="36"/>
    </row>
    <row r="403" spans="7:7" x14ac:dyDescent="0.25">
      <c r="G403" s="36"/>
    </row>
    <row r="404" spans="7:7" x14ac:dyDescent="0.25">
      <c r="G404" s="36"/>
    </row>
    <row r="405" spans="7:7" x14ac:dyDescent="0.25">
      <c r="G405" s="36"/>
    </row>
    <row r="406" spans="7:7" x14ac:dyDescent="0.25">
      <c r="G406" s="36"/>
    </row>
    <row r="407" spans="7:7" x14ac:dyDescent="0.25">
      <c r="G407" s="36"/>
    </row>
    <row r="408" spans="7:7" x14ac:dyDescent="0.25">
      <c r="G408" s="36"/>
    </row>
    <row r="409" spans="7:7" x14ac:dyDescent="0.25">
      <c r="G409" s="36"/>
    </row>
    <row r="410" spans="7:7" x14ac:dyDescent="0.25">
      <c r="G410" s="36"/>
    </row>
    <row r="411" spans="7:7" x14ac:dyDescent="0.25">
      <c r="G411" s="36"/>
    </row>
    <row r="412" spans="7:7" x14ac:dyDescent="0.25">
      <c r="G412" s="36"/>
    </row>
    <row r="413" spans="7:7" x14ac:dyDescent="0.25">
      <c r="G413" s="36"/>
    </row>
    <row r="414" spans="7:7" x14ac:dyDescent="0.25">
      <c r="G414" s="36"/>
    </row>
    <row r="415" spans="7:7" x14ac:dyDescent="0.25">
      <c r="G415" s="36"/>
    </row>
    <row r="416" spans="7:7" x14ac:dyDescent="0.25">
      <c r="G416" s="36"/>
    </row>
    <row r="417" spans="7:7" x14ac:dyDescent="0.25">
      <c r="G417" s="36"/>
    </row>
    <row r="418" spans="7:7" x14ac:dyDescent="0.25">
      <c r="G418" s="36"/>
    </row>
    <row r="419" spans="7:7" x14ac:dyDescent="0.25">
      <c r="G419" s="36"/>
    </row>
    <row r="420" spans="7:7" x14ac:dyDescent="0.25">
      <c r="G420" s="36"/>
    </row>
    <row r="421" spans="7:7" x14ac:dyDescent="0.25">
      <c r="G421" s="36"/>
    </row>
    <row r="422" spans="7:7" x14ac:dyDescent="0.25">
      <c r="G422" s="36"/>
    </row>
    <row r="423" spans="7:7" x14ac:dyDescent="0.25">
      <c r="G423" s="36"/>
    </row>
    <row r="424" spans="7:7" x14ac:dyDescent="0.25">
      <c r="G424" s="36"/>
    </row>
    <row r="425" spans="7:7" x14ac:dyDescent="0.25">
      <c r="G425" s="36"/>
    </row>
    <row r="426" spans="7:7" x14ac:dyDescent="0.25">
      <c r="G426" s="36"/>
    </row>
    <row r="427" spans="7:7" x14ac:dyDescent="0.25">
      <c r="G427" s="36"/>
    </row>
    <row r="428" spans="7:7" x14ac:dyDescent="0.25">
      <c r="G428" s="36"/>
    </row>
    <row r="429" spans="7:7" x14ac:dyDescent="0.25">
      <c r="G429" s="36"/>
    </row>
    <row r="430" spans="7:7" x14ac:dyDescent="0.25">
      <c r="G430" s="36"/>
    </row>
    <row r="431" spans="7:7" x14ac:dyDescent="0.25">
      <c r="G431" s="36"/>
    </row>
    <row r="432" spans="7:7" x14ac:dyDescent="0.25">
      <c r="G432" s="36"/>
    </row>
    <row r="433" spans="7:7" x14ac:dyDescent="0.25">
      <c r="G433" s="36"/>
    </row>
    <row r="434" spans="7:7" x14ac:dyDescent="0.25">
      <c r="G434" s="36"/>
    </row>
    <row r="435" spans="7:7" x14ac:dyDescent="0.25">
      <c r="G435" s="36"/>
    </row>
    <row r="436" spans="7:7" x14ac:dyDescent="0.25">
      <c r="G436" s="36"/>
    </row>
    <row r="437" spans="7:7" x14ac:dyDescent="0.25">
      <c r="G437" s="36"/>
    </row>
    <row r="438" spans="7:7" x14ac:dyDescent="0.25">
      <c r="G438" s="36"/>
    </row>
    <row r="439" spans="7:7" x14ac:dyDescent="0.25">
      <c r="G439" s="36"/>
    </row>
    <row r="440" spans="7:7" x14ac:dyDescent="0.25">
      <c r="G440" s="36"/>
    </row>
    <row r="441" spans="7:7" x14ac:dyDescent="0.25">
      <c r="G441" s="36"/>
    </row>
    <row r="442" spans="7:7" x14ac:dyDescent="0.25">
      <c r="G442" s="36"/>
    </row>
    <row r="443" spans="7:7" x14ac:dyDescent="0.25">
      <c r="G443" s="36"/>
    </row>
    <row r="444" spans="7:7" x14ac:dyDescent="0.25">
      <c r="G444" s="36"/>
    </row>
    <row r="445" spans="7:7" x14ac:dyDescent="0.25">
      <c r="G445" s="36"/>
    </row>
    <row r="446" spans="7:7" x14ac:dyDescent="0.25">
      <c r="G446" s="36"/>
    </row>
    <row r="447" spans="7:7" x14ac:dyDescent="0.25">
      <c r="G447" s="36"/>
    </row>
    <row r="448" spans="7:7" x14ac:dyDescent="0.25">
      <c r="G448" s="36"/>
    </row>
    <row r="449" spans="7:7" x14ac:dyDescent="0.25">
      <c r="G449" s="36"/>
    </row>
    <row r="450" spans="7:7" x14ac:dyDescent="0.25">
      <c r="G450" s="36"/>
    </row>
    <row r="451" spans="7:7" x14ac:dyDescent="0.25">
      <c r="G451" s="36"/>
    </row>
    <row r="452" spans="7:7" x14ac:dyDescent="0.25">
      <c r="G452" s="36"/>
    </row>
    <row r="453" spans="7:7" x14ac:dyDescent="0.25">
      <c r="G453" s="36"/>
    </row>
    <row r="454" spans="7:7" x14ac:dyDescent="0.25">
      <c r="G454" s="36"/>
    </row>
    <row r="455" spans="7:7" x14ac:dyDescent="0.25">
      <c r="G455" s="36"/>
    </row>
    <row r="456" spans="7:7" x14ac:dyDescent="0.25">
      <c r="G456" s="36"/>
    </row>
    <row r="457" spans="7:7" x14ac:dyDescent="0.25">
      <c r="G457" s="36"/>
    </row>
    <row r="458" spans="7:7" x14ac:dyDescent="0.25">
      <c r="G458" s="36"/>
    </row>
    <row r="459" spans="7:7" x14ac:dyDescent="0.25">
      <c r="G459" s="36"/>
    </row>
    <row r="460" spans="7:7" x14ac:dyDescent="0.25">
      <c r="G460" s="36"/>
    </row>
    <row r="461" spans="7:7" x14ac:dyDescent="0.25">
      <c r="G461" s="36"/>
    </row>
    <row r="462" spans="7:7" x14ac:dyDescent="0.25">
      <c r="G462" s="36"/>
    </row>
    <row r="463" spans="7:7" x14ac:dyDescent="0.25">
      <c r="G463" s="36"/>
    </row>
    <row r="464" spans="7:7" x14ac:dyDescent="0.25">
      <c r="G464" s="36"/>
    </row>
    <row r="465" spans="7:7" x14ac:dyDescent="0.25">
      <c r="G465" s="36"/>
    </row>
    <row r="466" spans="7:7" x14ac:dyDescent="0.25">
      <c r="G466" s="36"/>
    </row>
    <row r="467" spans="7:7" x14ac:dyDescent="0.25">
      <c r="G467" s="36"/>
    </row>
    <row r="468" spans="7:7" x14ac:dyDescent="0.25">
      <c r="G468" s="36"/>
    </row>
    <row r="469" spans="7:7" x14ac:dyDescent="0.25">
      <c r="G469" s="36"/>
    </row>
    <row r="470" spans="7:7" x14ac:dyDescent="0.25">
      <c r="G470" s="36"/>
    </row>
    <row r="471" spans="7:7" x14ac:dyDescent="0.25">
      <c r="G471" s="36"/>
    </row>
    <row r="472" spans="7:7" x14ac:dyDescent="0.25">
      <c r="G472" s="36"/>
    </row>
    <row r="473" spans="7:7" x14ac:dyDescent="0.25">
      <c r="G473" s="36"/>
    </row>
    <row r="474" spans="7:7" x14ac:dyDescent="0.25">
      <c r="G474" s="36"/>
    </row>
    <row r="475" spans="7:7" x14ac:dyDescent="0.25">
      <c r="G475" s="36"/>
    </row>
    <row r="476" spans="7:7" x14ac:dyDescent="0.25">
      <c r="G476" s="36"/>
    </row>
    <row r="477" spans="7:7" x14ac:dyDescent="0.25">
      <c r="G477" s="36"/>
    </row>
    <row r="478" spans="7:7" x14ac:dyDescent="0.25">
      <c r="G478" s="36"/>
    </row>
    <row r="479" spans="7:7" x14ac:dyDescent="0.25">
      <c r="G479" s="36"/>
    </row>
    <row r="480" spans="7:7" x14ac:dyDescent="0.25">
      <c r="G480" s="36"/>
    </row>
    <row r="481" spans="7:7" x14ac:dyDescent="0.25">
      <c r="G481" s="36"/>
    </row>
    <row r="482" spans="7:7" x14ac:dyDescent="0.25">
      <c r="G482" s="36"/>
    </row>
    <row r="483" spans="7:7" x14ac:dyDescent="0.25">
      <c r="G483" s="36"/>
    </row>
    <row r="484" spans="7:7" x14ac:dyDescent="0.25">
      <c r="G484" s="36"/>
    </row>
    <row r="485" spans="7:7" x14ac:dyDescent="0.25">
      <c r="G485" s="36"/>
    </row>
    <row r="486" spans="7:7" x14ac:dyDescent="0.25">
      <c r="G486" s="36"/>
    </row>
    <row r="487" spans="7:7" x14ac:dyDescent="0.25">
      <c r="G487" s="36"/>
    </row>
    <row r="488" spans="7:7" x14ac:dyDescent="0.25">
      <c r="G488" s="36"/>
    </row>
    <row r="489" spans="7:7" x14ac:dyDescent="0.25">
      <c r="G489" s="36"/>
    </row>
    <row r="490" spans="7:7" x14ac:dyDescent="0.25">
      <c r="G490" s="36"/>
    </row>
    <row r="491" spans="7:7" x14ac:dyDescent="0.25">
      <c r="G491" s="36"/>
    </row>
    <row r="492" spans="7:7" x14ac:dyDescent="0.25">
      <c r="G492" s="36"/>
    </row>
    <row r="493" spans="7:7" x14ac:dyDescent="0.25">
      <c r="G493" s="36"/>
    </row>
    <row r="494" spans="7:7" x14ac:dyDescent="0.25">
      <c r="G494" s="36"/>
    </row>
    <row r="495" spans="7:7" x14ac:dyDescent="0.25">
      <c r="G495" s="36"/>
    </row>
    <row r="496" spans="7:7" x14ac:dyDescent="0.25">
      <c r="G496" s="36"/>
    </row>
    <row r="497" spans="7:7" x14ac:dyDescent="0.25">
      <c r="G497" s="36"/>
    </row>
    <row r="498" spans="7:7" x14ac:dyDescent="0.25">
      <c r="G498" s="36"/>
    </row>
    <row r="499" spans="7:7" x14ac:dyDescent="0.25">
      <c r="G499" s="36"/>
    </row>
    <row r="500" spans="7:7" x14ac:dyDescent="0.25">
      <c r="G500" s="36"/>
    </row>
    <row r="501" spans="7:7" x14ac:dyDescent="0.25">
      <c r="G501" s="36"/>
    </row>
    <row r="502" spans="7:7" x14ac:dyDescent="0.25">
      <c r="G502" s="36"/>
    </row>
    <row r="503" spans="7:7" x14ac:dyDescent="0.25">
      <c r="G503" s="36"/>
    </row>
    <row r="504" spans="7:7" x14ac:dyDescent="0.25">
      <c r="G504" s="36"/>
    </row>
    <row r="505" spans="7:7" x14ac:dyDescent="0.25">
      <c r="G505" s="36"/>
    </row>
    <row r="506" spans="7:7" x14ac:dyDescent="0.25">
      <c r="G506" s="36"/>
    </row>
    <row r="507" spans="7:7" x14ac:dyDescent="0.25">
      <c r="G507" s="36"/>
    </row>
    <row r="508" spans="7:7" x14ac:dyDescent="0.25">
      <c r="G508" s="36"/>
    </row>
    <row r="509" spans="7:7" x14ac:dyDescent="0.25">
      <c r="G509" s="36"/>
    </row>
    <row r="510" spans="7:7" x14ac:dyDescent="0.25">
      <c r="G510" s="36"/>
    </row>
    <row r="511" spans="7:7" x14ac:dyDescent="0.25">
      <c r="G511" s="36"/>
    </row>
    <row r="512" spans="7:7" x14ac:dyDescent="0.25">
      <c r="G512" s="36"/>
    </row>
    <row r="513" spans="7:7" x14ac:dyDescent="0.25">
      <c r="G513" s="36"/>
    </row>
    <row r="514" spans="7:7" x14ac:dyDescent="0.25">
      <c r="G514" s="36"/>
    </row>
    <row r="515" spans="7:7" x14ac:dyDescent="0.25">
      <c r="G515" s="36"/>
    </row>
    <row r="516" spans="7:7" x14ac:dyDescent="0.25">
      <c r="G516" s="36"/>
    </row>
    <row r="517" spans="7:7" x14ac:dyDescent="0.25">
      <c r="G517" s="36"/>
    </row>
    <row r="518" spans="7:7" x14ac:dyDescent="0.25">
      <c r="G518" s="36"/>
    </row>
    <row r="519" spans="7:7" x14ac:dyDescent="0.25">
      <c r="G519" s="36"/>
    </row>
    <row r="520" spans="7:7" x14ac:dyDescent="0.25">
      <c r="G520" s="36"/>
    </row>
    <row r="521" spans="7:7" x14ac:dyDescent="0.25">
      <c r="G521" s="36"/>
    </row>
    <row r="522" spans="7:7" x14ac:dyDescent="0.25">
      <c r="G522" s="36"/>
    </row>
    <row r="523" spans="7:7" x14ac:dyDescent="0.25">
      <c r="G523" s="36"/>
    </row>
    <row r="524" spans="7:7" x14ac:dyDescent="0.25">
      <c r="G524" s="36"/>
    </row>
    <row r="525" spans="7:7" x14ac:dyDescent="0.25">
      <c r="G525" s="36"/>
    </row>
    <row r="526" spans="7:7" x14ac:dyDescent="0.25">
      <c r="G526" s="36"/>
    </row>
    <row r="527" spans="7:7" x14ac:dyDescent="0.25">
      <c r="G527" s="36"/>
    </row>
    <row r="528" spans="7:7" x14ac:dyDescent="0.25">
      <c r="G528" s="36"/>
    </row>
    <row r="529" spans="7:7" x14ac:dyDescent="0.25">
      <c r="G529" s="36"/>
    </row>
    <row r="530" spans="7:7" x14ac:dyDescent="0.25">
      <c r="G530" s="36"/>
    </row>
    <row r="531" spans="7:7" x14ac:dyDescent="0.25">
      <c r="G531" s="36"/>
    </row>
    <row r="532" spans="7:7" x14ac:dyDescent="0.25">
      <c r="G532" s="36"/>
    </row>
    <row r="533" spans="7:7" x14ac:dyDescent="0.25">
      <c r="G533" s="36"/>
    </row>
    <row r="534" spans="7:7" x14ac:dyDescent="0.25">
      <c r="G534" s="36"/>
    </row>
    <row r="535" spans="7:7" x14ac:dyDescent="0.25">
      <c r="G535" s="36"/>
    </row>
    <row r="536" spans="7:7" x14ac:dyDescent="0.25">
      <c r="G536" s="36"/>
    </row>
    <row r="537" spans="7:7" x14ac:dyDescent="0.25">
      <c r="G537" s="36"/>
    </row>
    <row r="538" spans="7:7" x14ac:dyDescent="0.25">
      <c r="G538" s="36"/>
    </row>
    <row r="539" spans="7:7" x14ac:dyDescent="0.25">
      <c r="G539" s="36"/>
    </row>
    <row r="540" spans="7:7" x14ac:dyDescent="0.25">
      <c r="G540" s="36"/>
    </row>
    <row r="541" spans="7:7" x14ac:dyDescent="0.25">
      <c r="G541" s="36"/>
    </row>
    <row r="542" spans="7:7" x14ac:dyDescent="0.25">
      <c r="G542" s="36"/>
    </row>
    <row r="543" spans="7:7" x14ac:dyDescent="0.25">
      <c r="G543" s="36"/>
    </row>
    <row r="544" spans="7:7" x14ac:dyDescent="0.25">
      <c r="G544" s="36"/>
    </row>
    <row r="545" spans="7:7" x14ac:dyDescent="0.25">
      <c r="G545" s="36"/>
    </row>
    <row r="546" spans="7:7" x14ac:dyDescent="0.25">
      <c r="G546" s="36"/>
    </row>
    <row r="547" spans="7:7" x14ac:dyDescent="0.25">
      <c r="G547" s="36"/>
    </row>
    <row r="548" spans="7:7" x14ac:dyDescent="0.25">
      <c r="G548" s="36"/>
    </row>
    <row r="549" spans="7:7" x14ac:dyDescent="0.25">
      <c r="G549" s="36"/>
    </row>
    <row r="550" spans="7:7" x14ac:dyDescent="0.25">
      <c r="G550" s="36"/>
    </row>
    <row r="551" spans="7:7" x14ac:dyDescent="0.25">
      <c r="G551" s="36"/>
    </row>
    <row r="552" spans="7:7" x14ac:dyDescent="0.25">
      <c r="G552" s="36"/>
    </row>
    <row r="553" spans="7:7" x14ac:dyDescent="0.25">
      <c r="G553" s="36"/>
    </row>
    <row r="554" spans="7:7" x14ac:dyDescent="0.25">
      <c r="G554" s="36"/>
    </row>
    <row r="555" spans="7:7" x14ac:dyDescent="0.25">
      <c r="G555" s="36"/>
    </row>
    <row r="556" spans="7:7" x14ac:dyDescent="0.25">
      <c r="G556" s="36"/>
    </row>
    <row r="557" spans="7:7" x14ac:dyDescent="0.25">
      <c r="G557" s="36"/>
    </row>
    <row r="558" spans="7:7" x14ac:dyDescent="0.25">
      <c r="G558" s="36"/>
    </row>
    <row r="559" spans="7:7" x14ac:dyDescent="0.25">
      <c r="G559" s="36"/>
    </row>
    <row r="560" spans="7:7" x14ac:dyDescent="0.25">
      <c r="G560" s="36"/>
    </row>
    <row r="561" spans="7:7" x14ac:dyDescent="0.25">
      <c r="G561" s="36"/>
    </row>
    <row r="562" spans="7:7" x14ac:dyDescent="0.25">
      <c r="G562" s="36"/>
    </row>
    <row r="563" spans="7:7" x14ac:dyDescent="0.25">
      <c r="G563" s="36"/>
    </row>
    <row r="564" spans="7:7" x14ac:dyDescent="0.25">
      <c r="G564" s="36"/>
    </row>
    <row r="565" spans="7:7" x14ac:dyDescent="0.25">
      <c r="G565" s="36"/>
    </row>
    <row r="566" spans="7:7" x14ac:dyDescent="0.25">
      <c r="G566" s="36"/>
    </row>
    <row r="567" spans="7:7" x14ac:dyDescent="0.25">
      <c r="G567" s="36"/>
    </row>
    <row r="568" spans="7:7" x14ac:dyDescent="0.25">
      <c r="G568" s="36"/>
    </row>
    <row r="569" spans="7:7" x14ac:dyDescent="0.25">
      <c r="G569" s="36"/>
    </row>
    <row r="570" spans="7:7" x14ac:dyDescent="0.25">
      <c r="G570" s="36"/>
    </row>
    <row r="571" spans="7:7" x14ac:dyDescent="0.25">
      <c r="G571" s="36"/>
    </row>
    <row r="572" spans="7:7" x14ac:dyDescent="0.25">
      <c r="G572" s="36"/>
    </row>
    <row r="573" spans="7:7" x14ac:dyDescent="0.25">
      <c r="G573" s="36"/>
    </row>
    <row r="574" spans="7:7" x14ac:dyDescent="0.25">
      <c r="G574" s="36"/>
    </row>
    <row r="575" spans="7:7" x14ac:dyDescent="0.25">
      <c r="G575" s="36"/>
    </row>
    <row r="576" spans="7:7" x14ac:dyDescent="0.25">
      <c r="G576" s="36"/>
    </row>
    <row r="577" spans="7:7" x14ac:dyDescent="0.25">
      <c r="G577" s="36"/>
    </row>
    <row r="578" spans="7:7" x14ac:dyDescent="0.25">
      <c r="G578" s="36"/>
    </row>
    <row r="579" spans="7:7" x14ac:dyDescent="0.25">
      <c r="G579" s="36"/>
    </row>
    <row r="580" spans="7:7" x14ac:dyDescent="0.25">
      <c r="G580" s="36"/>
    </row>
    <row r="581" spans="7:7" x14ac:dyDescent="0.25">
      <c r="G581" s="36"/>
    </row>
    <row r="582" spans="7:7" x14ac:dyDescent="0.25">
      <c r="G582" s="36"/>
    </row>
    <row r="583" spans="7:7" x14ac:dyDescent="0.25">
      <c r="G583" s="36"/>
    </row>
    <row r="584" spans="7:7" x14ac:dyDescent="0.25">
      <c r="G584" s="36"/>
    </row>
    <row r="585" spans="7:7" x14ac:dyDescent="0.25">
      <c r="G585" s="36"/>
    </row>
    <row r="586" spans="7:7" x14ac:dyDescent="0.25">
      <c r="G586" s="36"/>
    </row>
    <row r="587" spans="7:7" x14ac:dyDescent="0.25">
      <c r="G587" s="36"/>
    </row>
    <row r="588" spans="7:7" x14ac:dyDescent="0.25">
      <c r="G588" s="36"/>
    </row>
    <row r="589" spans="7:7" x14ac:dyDescent="0.25">
      <c r="G589" s="36"/>
    </row>
    <row r="590" spans="7:7" x14ac:dyDescent="0.25">
      <c r="G590" s="36"/>
    </row>
    <row r="591" spans="7:7" x14ac:dyDescent="0.25">
      <c r="G591" s="36"/>
    </row>
    <row r="592" spans="7:7" x14ac:dyDescent="0.25">
      <c r="G592" s="36"/>
    </row>
    <row r="593" spans="7:7" x14ac:dyDescent="0.25">
      <c r="G593" s="36"/>
    </row>
    <row r="594" spans="7:7" x14ac:dyDescent="0.25">
      <c r="G594" s="36"/>
    </row>
    <row r="595" spans="7:7" x14ac:dyDescent="0.25">
      <c r="G595" s="36"/>
    </row>
    <row r="596" spans="7:7" x14ac:dyDescent="0.25">
      <c r="G596" s="36"/>
    </row>
    <row r="597" spans="7:7" x14ac:dyDescent="0.25">
      <c r="G597" s="36"/>
    </row>
    <row r="598" spans="7:7" x14ac:dyDescent="0.25">
      <c r="G598" s="36"/>
    </row>
    <row r="599" spans="7:7" x14ac:dyDescent="0.25">
      <c r="G599" s="36"/>
    </row>
    <row r="600" spans="7:7" x14ac:dyDescent="0.25">
      <c r="G600" s="36"/>
    </row>
    <row r="601" spans="7:7" x14ac:dyDescent="0.25">
      <c r="G601" s="36"/>
    </row>
    <row r="602" spans="7:7" x14ac:dyDescent="0.25">
      <c r="G602" s="36"/>
    </row>
    <row r="603" spans="7:7" x14ac:dyDescent="0.25">
      <c r="G603" s="36"/>
    </row>
    <row r="604" spans="7:7" x14ac:dyDescent="0.25">
      <c r="G604" s="36"/>
    </row>
    <row r="605" spans="7:7" x14ac:dyDescent="0.25">
      <c r="G605" s="36"/>
    </row>
    <row r="606" spans="7:7" x14ac:dyDescent="0.25">
      <c r="G606" s="36"/>
    </row>
    <row r="607" spans="7:7" x14ac:dyDescent="0.25">
      <c r="G607" s="36"/>
    </row>
    <row r="608" spans="7:7" x14ac:dyDescent="0.25">
      <c r="G608" s="36"/>
    </row>
    <row r="609" spans="7:7" x14ac:dyDescent="0.25">
      <c r="G609" s="36"/>
    </row>
    <row r="610" spans="7:7" x14ac:dyDescent="0.25">
      <c r="G610" s="36"/>
    </row>
    <row r="611" spans="7:7" x14ac:dyDescent="0.25">
      <c r="G611" s="36"/>
    </row>
    <row r="612" spans="7:7" x14ac:dyDescent="0.25">
      <c r="G612" s="36"/>
    </row>
    <row r="613" spans="7:7" x14ac:dyDescent="0.25">
      <c r="G613" s="36"/>
    </row>
    <row r="614" spans="7:7" x14ac:dyDescent="0.25">
      <c r="G614" s="36"/>
    </row>
    <row r="615" spans="7:7" x14ac:dyDescent="0.25">
      <c r="G615" s="36"/>
    </row>
    <row r="616" spans="7:7" x14ac:dyDescent="0.25">
      <c r="G616" s="36"/>
    </row>
    <row r="617" spans="7:7" x14ac:dyDescent="0.25">
      <c r="G617" s="36"/>
    </row>
    <row r="618" spans="7:7" x14ac:dyDescent="0.25">
      <c r="G618" s="36"/>
    </row>
    <row r="619" spans="7:7" x14ac:dyDescent="0.25">
      <c r="G619" s="36"/>
    </row>
    <row r="620" spans="7:7" x14ac:dyDescent="0.25">
      <c r="G620" s="36"/>
    </row>
    <row r="621" spans="7:7" x14ac:dyDescent="0.25">
      <c r="G621" s="36"/>
    </row>
    <row r="622" spans="7:7" x14ac:dyDescent="0.25">
      <c r="G622" s="36"/>
    </row>
    <row r="623" spans="7:7" x14ac:dyDescent="0.25">
      <c r="G623" s="36"/>
    </row>
    <row r="624" spans="7:7" x14ac:dyDescent="0.25">
      <c r="G624" s="36"/>
    </row>
    <row r="625" spans="7:7" x14ac:dyDescent="0.25">
      <c r="G625" s="36"/>
    </row>
    <row r="626" spans="7:7" x14ac:dyDescent="0.25">
      <c r="G626" s="36"/>
    </row>
    <row r="627" spans="7:7" x14ac:dyDescent="0.25">
      <c r="G627" s="36"/>
    </row>
    <row r="628" spans="7:7" x14ac:dyDescent="0.25">
      <c r="G628" s="36"/>
    </row>
    <row r="629" spans="7:7" x14ac:dyDescent="0.25">
      <c r="G629" s="36"/>
    </row>
    <row r="630" spans="7:7" x14ac:dyDescent="0.25">
      <c r="G630" s="36"/>
    </row>
    <row r="631" spans="7:7" x14ac:dyDescent="0.25">
      <c r="G631" s="36"/>
    </row>
    <row r="632" spans="7:7" x14ac:dyDescent="0.25">
      <c r="G632" s="36"/>
    </row>
    <row r="633" spans="7:7" x14ac:dyDescent="0.25">
      <c r="G633" s="36"/>
    </row>
    <row r="634" spans="7:7" x14ac:dyDescent="0.25">
      <c r="G634" s="36"/>
    </row>
    <row r="635" spans="7:7" x14ac:dyDescent="0.25">
      <c r="G635" s="36"/>
    </row>
    <row r="636" spans="7:7" x14ac:dyDescent="0.25">
      <c r="G636" s="36"/>
    </row>
    <row r="637" spans="7:7" x14ac:dyDescent="0.25">
      <c r="G637" s="36"/>
    </row>
    <row r="638" spans="7:7" x14ac:dyDescent="0.25">
      <c r="G638" s="36"/>
    </row>
    <row r="639" spans="7:7" x14ac:dyDescent="0.25">
      <c r="G639" s="36"/>
    </row>
    <row r="640" spans="7:7" x14ac:dyDescent="0.25">
      <c r="G640" s="36"/>
    </row>
    <row r="641" spans="7:7" x14ac:dyDescent="0.25">
      <c r="G641" s="36"/>
    </row>
    <row r="642" spans="7:7" x14ac:dyDescent="0.25">
      <c r="G642" s="36"/>
    </row>
    <row r="643" spans="7:7" x14ac:dyDescent="0.25">
      <c r="G643" s="36"/>
    </row>
    <row r="644" spans="7:7" x14ac:dyDescent="0.25">
      <c r="G644" s="36"/>
    </row>
    <row r="645" spans="7:7" x14ac:dyDescent="0.25">
      <c r="G645" s="36"/>
    </row>
    <row r="646" spans="7:7" x14ac:dyDescent="0.25">
      <c r="G646" s="36"/>
    </row>
    <row r="647" spans="7:7" x14ac:dyDescent="0.25">
      <c r="G647" s="36"/>
    </row>
    <row r="648" spans="7:7" x14ac:dyDescent="0.25">
      <c r="G648" s="36"/>
    </row>
    <row r="649" spans="7:7" x14ac:dyDescent="0.25">
      <c r="G649" s="36"/>
    </row>
    <row r="650" spans="7:7" x14ac:dyDescent="0.25">
      <c r="G650" s="36"/>
    </row>
    <row r="651" spans="7:7" x14ac:dyDescent="0.25">
      <c r="G651" s="36"/>
    </row>
    <row r="652" spans="7:7" x14ac:dyDescent="0.25">
      <c r="G652" s="36"/>
    </row>
    <row r="653" spans="7:7" x14ac:dyDescent="0.25">
      <c r="G653" s="36"/>
    </row>
    <row r="654" spans="7:7" x14ac:dyDescent="0.25">
      <c r="G654" s="36"/>
    </row>
    <row r="655" spans="7:7" x14ac:dyDescent="0.25">
      <c r="G655" s="36"/>
    </row>
    <row r="656" spans="7:7" x14ac:dyDescent="0.25">
      <c r="G656" s="36"/>
    </row>
    <row r="657" spans="7:7" x14ac:dyDescent="0.25">
      <c r="G657" s="36"/>
    </row>
    <row r="658" spans="7:7" x14ac:dyDescent="0.25">
      <c r="G658" s="36"/>
    </row>
    <row r="659" spans="7:7" x14ac:dyDescent="0.25">
      <c r="G659" s="36"/>
    </row>
    <row r="660" spans="7:7" x14ac:dyDescent="0.25">
      <c r="G660" s="36"/>
    </row>
    <row r="661" spans="7:7" x14ac:dyDescent="0.25">
      <c r="G661" s="36"/>
    </row>
    <row r="662" spans="7:7" x14ac:dyDescent="0.25">
      <c r="G662" s="36"/>
    </row>
    <row r="663" spans="7:7" x14ac:dyDescent="0.25">
      <c r="G663" s="36"/>
    </row>
    <row r="664" spans="7:7" x14ac:dyDescent="0.25">
      <c r="G664" s="36"/>
    </row>
    <row r="665" spans="7:7" x14ac:dyDescent="0.25">
      <c r="G665" s="36"/>
    </row>
    <row r="666" spans="7:7" x14ac:dyDescent="0.25">
      <c r="G666" s="36"/>
    </row>
    <row r="667" spans="7:7" x14ac:dyDescent="0.25">
      <c r="G667" s="36"/>
    </row>
    <row r="668" spans="7:7" x14ac:dyDescent="0.25">
      <c r="G668" s="36"/>
    </row>
    <row r="669" spans="7:7" x14ac:dyDescent="0.25">
      <c r="G669" s="36"/>
    </row>
    <row r="670" spans="7:7" x14ac:dyDescent="0.25">
      <c r="G670" s="36"/>
    </row>
    <row r="671" spans="7:7" x14ac:dyDescent="0.25">
      <c r="G671" s="36"/>
    </row>
    <row r="672" spans="7:7" x14ac:dyDescent="0.25">
      <c r="G672" s="36"/>
    </row>
    <row r="673" spans="7:7" x14ac:dyDescent="0.25">
      <c r="G673" s="36"/>
    </row>
    <row r="674" spans="7:7" x14ac:dyDescent="0.25">
      <c r="G674" s="36"/>
    </row>
    <row r="675" spans="7:7" x14ac:dyDescent="0.25">
      <c r="G675" s="36"/>
    </row>
    <row r="676" spans="7:7" x14ac:dyDescent="0.25">
      <c r="G676" s="36"/>
    </row>
    <row r="677" spans="7:7" x14ac:dyDescent="0.25">
      <c r="G677" s="36"/>
    </row>
    <row r="678" spans="7:7" x14ac:dyDescent="0.25">
      <c r="G678" s="36"/>
    </row>
    <row r="679" spans="7:7" x14ac:dyDescent="0.25">
      <c r="G679" s="36"/>
    </row>
    <row r="680" spans="7:7" x14ac:dyDescent="0.25">
      <c r="G680" s="36"/>
    </row>
    <row r="681" spans="7:7" x14ac:dyDescent="0.25">
      <c r="G681" s="36"/>
    </row>
    <row r="682" spans="7:7" x14ac:dyDescent="0.25">
      <c r="G682" s="36"/>
    </row>
    <row r="683" spans="7:7" x14ac:dyDescent="0.25">
      <c r="G683" s="36"/>
    </row>
    <row r="684" spans="7:7" x14ac:dyDescent="0.25">
      <c r="G684" s="36"/>
    </row>
    <row r="685" spans="7:7" x14ac:dyDescent="0.25">
      <c r="G685" s="36"/>
    </row>
    <row r="686" spans="7:7" x14ac:dyDescent="0.25">
      <c r="G686" s="36"/>
    </row>
    <row r="687" spans="7:7" x14ac:dyDescent="0.25">
      <c r="G687" s="36"/>
    </row>
    <row r="688" spans="7:7" x14ac:dyDescent="0.25">
      <c r="G688" s="36"/>
    </row>
    <row r="689" spans="7:7" x14ac:dyDescent="0.25">
      <c r="G689" s="36"/>
    </row>
    <row r="690" spans="7:7" x14ac:dyDescent="0.25">
      <c r="G690" s="36"/>
    </row>
    <row r="691" spans="7:7" x14ac:dyDescent="0.25">
      <c r="G691" s="36"/>
    </row>
    <row r="692" spans="7:7" x14ac:dyDescent="0.25">
      <c r="G692" s="36"/>
    </row>
    <row r="693" spans="7:7" x14ac:dyDescent="0.25">
      <c r="G693" s="36"/>
    </row>
    <row r="694" spans="7:7" x14ac:dyDescent="0.25">
      <c r="G694" s="36"/>
    </row>
    <row r="695" spans="7:7" x14ac:dyDescent="0.25">
      <c r="G695" s="36"/>
    </row>
    <row r="696" spans="7:7" x14ac:dyDescent="0.25">
      <c r="G696" s="36"/>
    </row>
    <row r="697" spans="7:7" x14ac:dyDescent="0.25">
      <c r="G697" s="36"/>
    </row>
    <row r="698" spans="7:7" x14ac:dyDescent="0.25">
      <c r="G698" s="36"/>
    </row>
    <row r="699" spans="7:7" x14ac:dyDescent="0.25">
      <c r="G699" s="36"/>
    </row>
    <row r="700" spans="7:7" x14ac:dyDescent="0.25">
      <c r="G700" s="36"/>
    </row>
    <row r="701" spans="7:7" x14ac:dyDescent="0.25">
      <c r="G701" s="36"/>
    </row>
    <row r="702" spans="7:7" x14ac:dyDescent="0.25">
      <c r="G702" s="36"/>
    </row>
    <row r="703" spans="7:7" x14ac:dyDescent="0.25">
      <c r="G703" s="36"/>
    </row>
    <row r="704" spans="7:7" x14ac:dyDescent="0.25">
      <c r="G704" s="36"/>
    </row>
    <row r="705" spans="7:7" x14ac:dyDescent="0.25">
      <c r="G705" s="36"/>
    </row>
    <row r="706" spans="7:7" x14ac:dyDescent="0.25">
      <c r="G706" s="36"/>
    </row>
    <row r="707" spans="7:7" x14ac:dyDescent="0.25">
      <c r="G707" s="36"/>
    </row>
    <row r="708" spans="7:7" x14ac:dyDescent="0.25">
      <c r="G708" s="36"/>
    </row>
    <row r="709" spans="7:7" x14ac:dyDescent="0.25">
      <c r="G709" s="36"/>
    </row>
    <row r="710" spans="7:7" x14ac:dyDescent="0.25">
      <c r="G710" s="36"/>
    </row>
    <row r="711" spans="7:7" x14ac:dyDescent="0.25">
      <c r="G711" s="36"/>
    </row>
    <row r="712" spans="7:7" x14ac:dyDescent="0.25">
      <c r="G712" s="36"/>
    </row>
    <row r="713" spans="7:7" x14ac:dyDescent="0.25">
      <c r="G713" s="36"/>
    </row>
    <row r="714" spans="7:7" x14ac:dyDescent="0.25">
      <c r="G714" s="36"/>
    </row>
    <row r="715" spans="7:7" x14ac:dyDescent="0.25">
      <c r="G715" s="36"/>
    </row>
    <row r="716" spans="7:7" x14ac:dyDescent="0.25">
      <c r="G716" s="36"/>
    </row>
    <row r="717" spans="7:7" x14ac:dyDescent="0.25">
      <c r="G717" s="36"/>
    </row>
    <row r="718" spans="7:7" x14ac:dyDescent="0.25">
      <c r="G718" s="36"/>
    </row>
    <row r="719" spans="7:7" x14ac:dyDescent="0.25">
      <c r="G719" s="36"/>
    </row>
    <row r="720" spans="7:7" x14ac:dyDescent="0.25">
      <c r="G720" s="36"/>
    </row>
    <row r="721" spans="7:7" x14ac:dyDescent="0.25">
      <c r="G721" s="36"/>
    </row>
    <row r="722" spans="7:7" x14ac:dyDescent="0.25">
      <c r="G722" s="36"/>
    </row>
    <row r="723" spans="7:7" x14ac:dyDescent="0.25">
      <c r="G723" s="36"/>
    </row>
    <row r="724" spans="7:7" x14ac:dyDescent="0.25">
      <c r="G724" s="36"/>
    </row>
    <row r="725" spans="7:7" x14ac:dyDescent="0.25">
      <c r="G725" s="36"/>
    </row>
    <row r="726" spans="7:7" x14ac:dyDescent="0.25">
      <c r="G726" s="36"/>
    </row>
    <row r="727" spans="7:7" x14ac:dyDescent="0.25">
      <c r="G727" s="36"/>
    </row>
    <row r="728" spans="7:7" x14ac:dyDescent="0.25">
      <c r="G728" s="36"/>
    </row>
    <row r="729" spans="7:7" x14ac:dyDescent="0.25">
      <c r="G729" s="36"/>
    </row>
    <row r="730" spans="7:7" x14ac:dyDescent="0.25">
      <c r="G730" s="36"/>
    </row>
    <row r="731" spans="7:7" x14ac:dyDescent="0.25">
      <c r="G731" s="36"/>
    </row>
    <row r="732" spans="7:7" x14ac:dyDescent="0.25">
      <c r="G732" s="36"/>
    </row>
    <row r="733" spans="7:7" x14ac:dyDescent="0.25">
      <c r="G733" s="36"/>
    </row>
    <row r="734" spans="7:7" x14ac:dyDescent="0.25">
      <c r="G734" s="36"/>
    </row>
    <row r="735" spans="7:7" x14ac:dyDescent="0.25">
      <c r="G735" s="36"/>
    </row>
    <row r="736" spans="7:7" x14ac:dyDescent="0.25">
      <c r="G736" s="36"/>
    </row>
    <row r="737" spans="7:7" x14ac:dyDescent="0.25">
      <c r="G737" s="36"/>
    </row>
    <row r="738" spans="7:7" x14ac:dyDescent="0.25">
      <c r="G738" s="36"/>
    </row>
    <row r="739" spans="7:7" x14ac:dyDescent="0.25">
      <c r="G739" s="36"/>
    </row>
    <row r="740" spans="7:7" x14ac:dyDescent="0.25">
      <c r="G740" s="36"/>
    </row>
    <row r="741" spans="7:7" x14ac:dyDescent="0.25">
      <c r="G741" s="36"/>
    </row>
    <row r="742" spans="7:7" x14ac:dyDescent="0.25">
      <c r="G742" s="36"/>
    </row>
    <row r="743" spans="7:7" x14ac:dyDescent="0.25">
      <c r="G743" s="36"/>
    </row>
    <row r="744" spans="7:7" x14ac:dyDescent="0.25">
      <c r="G744" s="36"/>
    </row>
    <row r="745" spans="7:7" x14ac:dyDescent="0.25">
      <c r="G745" s="36"/>
    </row>
    <row r="746" spans="7:7" x14ac:dyDescent="0.25">
      <c r="G746" s="36"/>
    </row>
    <row r="747" spans="7:7" x14ac:dyDescent="0.25">
      <c r="G747" s="36"/>
    </row>
    <row r="748" spans="7:7" x14ac:dyDescent="0.25">
      <c r="G748" s="36"/>
    </row>
    <row r="749" spans="7:7" x14ac:dyDescent="0.25">
      <c r="G749" s="36"/>
    </row>
    <row r="750" spans="7:7" x14ac:dyDescent="0.25">
      <c r="G750" s="36"/>
    </row>
    <row r="751" spans="7:7" x14ac:dyDescent="0.25">
      <c r="G751" s="36"/>
    </row>
    <row r="752" spans="7:7" x14ac:dyDescent="0.25">
      <c r="G752" s="36"/>
    </row>
    <row r="753" spans="7:7" x14ac:dyDescent="0.25">
      <c r="G753" s="36"/>
    </row>
    <row r="754" spans="7:7" x14ac:dyDescent="0.25">
      <c r="G754" s="36"/>
    </row>
    <row r="755" spans="7:7" x14ac:dyDescent="0.25">
      <c r="G755" s="36"/>
    </row>
    <row r="756" spans="7:7" x14ac:dyDescent="0.25">
      <c r="G756" s="36"/>
    </row>
    <row r="757" spans="7:7" x14ac:dyDescent="0.25">
      <c r="G757" s="36"/>
    </row>
    <row r="758" spans="7:7" x14ac:dyDescent="0.25">
      <c r="G758" s="36"/>
    </row>
    <row r="759" spans="7:7" x14ac:dyDescent="0.25">
      <c r="G759" s="36"/>
    </row>
    <row r="760" spans="7:7" x14ac:dyDescent="0.25">
      <c r="G760" s="36"/>
    </row>
    <row r="761" spans="7:7" x14ac:dyDescent="0.25">
      <c r="G761" s="36"/>
    </row>
    <row r="762" spans="7:7" x14ac:dyDescent="0.25">
      <c r="G762" s="36"/>
    </row>
    <row r="763" spans="7:7" x14ac:dyDescent="0.25">
      <c r="G763" s="36"/>
    </row>
    <row r="764" spans="7:7" x14ac:dyDescent="0.25">
      <c r="G764" s="36"/>
    </row>
    <row r="765" spans="7:7" x14ac:dyDescent="0.25">
      <c r="G765" s="36"/>
    </row>
    <row r="766" spans="7:7" x14ac:dyDescent="0.25">
      <c r="G766" s="36"/>
    </row>
    <row r="767" spans="7:7" x14ac:dyDescent="0.25">
      <c r="G767" s="36"/>
    </row>
    <row r="768" spans="7:7" x14ac:dyDescent="0.25">
      <c r="G768" s="36"/>
    </row>
    <row r="769" spans="7:7" x14ac:dyDescent="0.25">
      <c r="G769" s="36"/>
    </row>
    <row r="770" spans="7:7" x14ac:dyDescent="0.25">
      <c r="G770" s="36"/>
    </row>
    <row r="771" spans="7:7" x14ac:dyDescent="0.25">
      <c r="G771" s="36"/>
    </row>
    <row r="772" spans="7:7" x14ac:dyDescent="0.25">
      <c r="G772" s="36"/>
    </row>
    <row r="773" spans="7:7" x14ac:dyDescent="0.25">
      <c r="G773" s="36"/>
    </row>
    <row r="774" spans="7:7" x14ac:dyDescent="0.25">
      <c r="G774" s="36"/>
    </row>
    <row r="775" spans="7:7" x14ac:dyDescent="0.25">
      <c r="G775" s="36"/>
    </row>
    <row r="776" spans="7:7" x14ac:dyDescent="0.25">
      <c r="G776" s="36"/>
    </row>
    <row r="777" spans="7:7" x14ac:dyDescent="0.25">
      <c r="G777" s="36"/>
    </row>
    <row r="778" spans="7:7" x14ac:dyDescent="0.25">
      <c r="G778" s="36"/>
    </row>
    <row r="779" spans="7:7" x14ac:dyDescent="0.25">
      <c r="G779" s="36"/>
    </row>
    <row r="780" spans="7:7" x14ac:dyDescent="0.25">
      <c r="G780" s="36"/>
    </row>
    <row r="781" spans="7:7" x14ac:dyDescent="0.25">
      <c r="G781" s="36"/>
    </row>
    <row r="782" spans="7:7" x14ac:dyDescent="0.25">
      <c r="G782" s="36"/>
    </row>
    <row r="783" spans="7:7" x14ac:dyDescent="0.25">
      <c r="G783" s="36"/>
    </row>
    <row r="784" spans="7:7" x14ac:dyDescent="0.25">
      <c r="G784" s="36"/>
    </row>
    <row r="785" spans="7:7" x14ac:dyDescent="0.25">
      <c r="G785" s="36"/>
    </row>
    <row r="786" spans="7:7" x14ac:dyDescent="0.25">
      <c r="G786" s="36"/>
    </row>
    <row r="787" spans="7:7" x14ac:dyDescent="0.25">
      <c r="G787" s="36"/>
    </row>
    <row r="788" spans="7:7" x14ac:dyDescent="0.25">
      <c r="G788" s="36"/>
    </row>
    <row r="789" spans="7:7" x14ac:dyDescent="0.25">
      <c r="G789" s="36"/>
    </row>
    <row r="790" spans="7:7" x14ac:dyDescent="0.25">
      <c r="G790" s="36"/>
    </row>
    <row r="791" spans="7:7" x14ac:dyDescent="0.25">
      <c r="G791" s="36"/>
    </row>
    <row r="792" spans="7:7" x14ac:dyDescent="0.25">
      <c r="G792" s="36"/>
    </row>
    <row r="793" spans="7:7" x14ac:dyDescent="0.25">
      <c r="G793" s="36"/>
    </row>
    <row r="794" spans="7:7" x14ac:dyDescent="0.25">
      <c r="G794" s="36"/>
    </row>
    <row r="795" spans="7:7" x14ac:dyDescent="0.25">
      <c r="G795" s="36"/>
    </row>
    <row r="796" spans="7:7" x14ac:dyDescent="0.25">
      <c r="G796" s="36"/>
    </row>
    <row r="797" spans="7:7" x14ac:dyDescent="0.25">
      <c r="G797" s="36"/>
    </row>
    <row r="798" spans="7:7" x14ac:dyDescent="0.25">
      <c r="G798" s="36"/>
    </row>
    <row r="799" spans="7:7" x14ac:dyDescent="0.25">
      <c r="G799" s="36"/>
    </row>
    <row r="800" spans="7:7" x14ac:dyDescent="0.25">
      <c r="G800" s="36"/>
    </row>
    <row r="801" spans="7:7" x14ac:dyDescent="0.25">
      <c r="G801" s="36"/>
    </row>
    <row r="802" spans="7:7" x14ac:dyDescent="0.25">
      <c r="G802" s="36"/>
    </row>
    <row r="803" spans="7:7" x14ac:dyDescent="0.25">
      <c r="G803" s="36"/>
    </row>
    <row r="804" spans="7:7" x14ac:dyDescent="0.25">
      <c r="G804" s="36"/>
    </row>
    <row r="805" spans="7:7" x14ac:dyDescent="0.25">
      <c r="G805" s="36"/>
    </row>
    <row r="806" spans="7:7" x14ac:dyDescent="0.25">
      <c r="G806" s="36"/>
    </row>
    <row r="807" spans="7:7" x14ac:dyDescent="0.25">
      <c r="G807" s="36"/>
    </row>
    <row r="808" spans="7:7" x14ac:dyDescent="0.25">
      <c r="G808" s="36"/>
    </row>
    <row r="809" spans="7:7" x14ac:dyDescent="0.25">
      <c r="G809" s="36"/>
    </row>
    <row r="810" spans="7:7" x14ac:dyDescent="0.25">
      <c r="G810" s="36"/>
    </row>
    <row r="811" spans="7:7" x14ac:dyDescent="0.25">
      <c r="G811" s="36"/>
    </row>
    <row r="812" spans="7:7" x14ac:dyDescent="0.25">
      <c r="G812" s="36"/>
    </row>
    <row r="813" spans="7:7" x14ac:dyDescent="0.25">
      <c r="G813" s="36"/>
    </row>
    <row r="814" spans="7:7" x14ac:dyDescent="0.25">
      <c r="G814" s="36"/>
    </row>
    <row r="815" spans="7:7" x14ac:dyDescent="0.25">
      <c r="G815" s="36"/>
    </row>
    <row r="816" spans="7:7" x14ac:dyDescent="0.25">
      <c r="G816" s="36"/>
    </row>
    <row r="817" spans="7:7" x14ac:dyDescent="0.25">
      <c r="G817" s="36"/>
    </row>
    <row r="818" spans="7:7" x14ac:dyDescent="0.25">
      <c r="G818" s="36"/>
    </row>
    <row r="819" spans="7:7" x14ac:dyDescent="0.25">
      <c r="G819" s="36"/>
    </row>
    <row r="820" spans="7:7" x14ac:dyDescent="0.25">
      <c r="G820" s="36"/>
    </row>
    <row r="821" spans="7:7" x14ac:dyDescent="0.25">
      <c r="G821" s="36"/>
    </row>
    <row r="822" spans="7:7" x14ac:dyDescent="0.25">
      <c r="G822" s="36"/>
    </row>
    <row r="823" spans="7:7" x14ac:dyDescent="0.25">
      <c r="G823" s="36"/>
    </row>
    <row r="824" spans="7:7" x14ac:dyDescent="0.25">
      <c r="G824" s="36"/>
    </row>
    <row r="825" spans="7:7" x14ac:dyDescent="0.25">
      <c r="G825" s="36"/>
    </row>
    <row r="826" spans="7:7" x14ac:dyDescent="0.25">
      <c r="G826" s="36"/>
    </row>
    <row r="827" spans="7:7" x14ac:dyDescent="0.25">
      <c r="G827" s="36"/>
    </row>
    <row r="828" spans="7:7" x14ac:dyDescent="0.25">
      <c r="G828" s="36"/>
    </row>
    <row r="829" spans="7:7" x14ac:dyDescent="0.25">
      <c r="G829" s="36"/>
    </row>
    <row r="830" spans="7:7" x14ac:dyDescent="0.25">
      <c r="G830" s="36"/>
    </row>
    <row r="831" spans="7:7" x14ac:dyDescent="0.25">
      <c r="G831" s="36"/>
    </row>
    <row r="832" spans="7:7" x14ac:dyDescent="0.25">
      <c r="G832" s="36"/>
    </row>
    <row r="833" spans="7:7" x14ac:dyDescent="0.25">
      <c r="G833" s="36"/>
    </row>
    <row r="834" spans="7:7" x14ac:dyDescent="0.25">
      <c r="G834" s="36"/>
    </row>
    <row r="835" spans="7:7" x14ac:dyDescent="0.25">
      <c r="G835" s="36"/>
    </row>
    <row r="836" spans="7:7" x14ac:dyDescent="0.25">
      <c r="G836" s="36"/>
    </row>
    <row r="837" spans="7:7" x14ac:dyDescent="0.25">
      <c r="G837" s="36"/>
    </row>
    <row r="838" spans="7:7" x14ac:dyDescent="0.25">
      <c r="G838" s="36"/>
    </row>
    <row r="839" spans="7:7" x14ac:dyDescent="0.25">
      <c r="G839" s="36"/>
    </row>
    <row r="840" spans="7:7" x14ac:dyDescent="0.25">
      <c r="G840" s="36"/>
    </row>
    <row r="841" spans="7:7" x14ac:dyDescent="0.25">
      <c r="G841" s="36"/>
    </row>
    <row r="842" spans="7:7" x14ac:dyDescent="0.25">
      <c r="G842" s="36"/>
    </row>
    <row r="843" spans="7:7" x14ac:dyDescent="0.25">
      <c r="G843" s="36"/>
    </row>
    <row r="844" spans="7:7" x14ac:dyDescent="0.25">
      <c r="G844" s="36"/>
    </row>
    <row r="845" spans="7:7" x14ac:dyDescent="0.25">
      <c r="G845" s="36"/>
    </row>
    <row r="846" spans="7:7" x14ac:dyDescent="0.25">
      <c r="G846" s="36"/>
    </row>
    <row r="847" spans="7:7" x14ac:dyDescent="0.25">
      <c r="G847" s="36"/>
    </row>
    <row r="848" spans="7:7" x14ac:dyDescent="0.25">
      <c r="G848" s="36"/>
    </row>
    <row r="849" spans="7:7" x14ac:dyDescent="0.25">
      <c r="G849" s="36"/>
    </row>
    <row r="850" spans="7:7" x14ac:dyDescent="0.25">
      <c r="G850" s="36"/>
    </row>
    <row r="851" spans="7:7" x14ac:dyDescent="0.25">
      <c r="G851" s="36"/>
    </row>
    <row r="852" spans="7:7" x14ac:dyDescent="0.25">
      <c r="G852" s="36"/>
    </row>
    <row r="853" spans="7:7" x14ac:dyDescent="0.25">
      <c r="G853" s="36"/>
    </row>
    <row r="854" spans="7:7" x14ac:dyDescent="0.25">
      <c r="G854" s="36"/>
    </row>
    <row r="855" spans="7:7" x14ac:dyDescent="0.25">
      <c r="G855" s="36"/>
    </row>
    <row r="856" spans="7:7" x14ac:dyDescent="0.25">
      <c r="G856" s="36"/>
    </row>
    <row r="857" spans="7:7" x14ac:dyDescent="0.25">
      <c r="G857" s="36"/>
    </row>
    <row r="858" spans="7:7" x14ac:dyDescent="0.25">
      <c r="G858" s="36"/>
    </row>
    <row r="859" spans="7:7" x14ac:dyDescent="0.25">
      <c r="G859" s="36"/>
    </row>
    <row r="860" spans="7:7" x14ac:dyDescent="0.25">
      <c r="G860" s="36"/>
    </row>
    <row r="861" spans="7:7" x14ac:dyDescent="0.25">
      <c r="G861" s="36"/>
    </row>
    <row r="862" spans="7:7" x14ac:dyDescent="0.25">
      <c r="G862" s="36"/>
    </row>
    <row r="863" spans="7:7" x14ac:dyDescent="0.25">
      <c r="G863" s="36"/>
    </row>
    <row r="864" spans="7:7" x14ac:dyDescent="0.25">
      <c r="G864" s="36"/>
    </row>
    <row r="865" spans="7:7" x14ac:dyDescent="0.25">
      <c r="G865" s="36"/>
    </row>
    <row r="866" spans="7:7" x14ac:dyDescent="0.25">
      <c r="G866" s="36"/>
    </row>
    <row r="867" spans="7:7" x14ac:dyDescent="0.25">
      <c r="G867" s="36"/>
    </row>
    <row r="868" spans="7:7" x14ac:dyDescent="0.25">
      <c r="G868" s="36"/>
    </row>
    <row r="869" spans="7:7" x14ac:dyDescent="0.25">
      <c r="G869" s="36"/>
    </row>
    <row r="870" spans="7:7" x14ac:dyDescent="0.25">
      <c r="G870" s="36"/>
    </row>
    <row r="871" spans="7:7" x14ac:dyDescent="0.25">
      <c r="G871" s="36"/>
    </row>
    <row r="872" spans="7:7" x14ac:dyDescent="0.25">
      <c r="G872" s="36"/>
    </row>
    <row r="873" spans="7:7" x14ac:dyDescent="0.25">
      <c r="G873" s="36"/>
    </row>
    <row r="874" spans="7:7" x14ac:dyDescent="0.25">
      <c r="G874" s="36"/>
    </row>
    <row r="875" spans="7:7" x14ac:dyDescent="0.25">
      <c r="G875" s="36"/>
    </row>
    <row r="876" spans="7:7" x14ac:dyDescent="0.25">
      <c r="G876" s="36"/>
    </row>
    <row r="877" spans="7:7" x14ac:dyDescent="0.25">
      <c r="G877" s="36"/>
    </row>
    <row r="878" spans="7:7" x14ac:dyDescent="0.25">
      <c r="G878" s="36"/>
    </row>
    <row r="879" spans="7:7" x14ac:dyDescent="0.25">
      <c r="G879" s="36"/>
    </row>
    <row r="880" spans="7:7" x14ac:dyDescent="0.25">
      <c r="G880" s="36"/>
    </row>
    <row r="881" spans="7:7" x14ac:dyDescent="0.25">
      <c r="G881" s="36"/>
    </row>
    <row r="882" spans="7:7" x14ac:dyDescent="0.25">
      <c r="G882" s="36"/>
    </row>
    <row r="883" spans="7:7" x14ac:dyDescent="0.25">
      <c r="G883" s="36"/>
    </row>
    <row r="884" spans="7:7" x14ac:dyDescent="0.25">
      <c r="G884" s="36"/>
    </row>
    <row r="885" spans="7:7" x14ac:dyDescent="0.25">
      <c r="G885" s="36"/>
    </row>
    <row r="886" spans="7:7" x14ac:dyDescent="0.25">
      <c r="G886" s="36"/>
    </row>
    <row r="887" spans="7:7" x14ac:dyDescent="0.25">
      <c r="G887" s="36"/>
    </row>
    <row r="888" spans="7:7" x14ac:dyDescent="0.25">
      <c r="G888" s="36"/>
    </row>
    <row r="889" spans="7:7" x14ac:dyDescent="0.25">
      <c r="G889" s="36"/>
    </row>
    <row r="890" spans="7:7" x14ac:dyDescent="0.25">
      <c r="G890" s="36"/>
    </row>
    <row r="891" spans="7:7" x14ac:dyDescent="0.25">
      <c r="G891" s="36"/>
    </row>
    <row r="892" spans="7:7" x14ac:dyDescent="0.25">
      <c r="G892" s="36"/>
    </row>
    <row r="893" spans="7:7" x14ac:dyDescent="0.25">
      <c r="G893" s="36"/>
    </row>
    <row r="894" spans="7:7" x14ac:dyDescent="0.25">
      <c r="G894" s="36"/>
    </row>
    <row r="895" spans="7:7" x14ac:dyDescent="0.25">
      <c r="G895" s="36"/>
    </row>
    <row r="896" spans="7:7" x14ac:dyDescent="0.25">
      <c r="G896" s="36"/>
    </row>
    <row r="897" spans="7:7" x14ac:dyDescent="0.25">
      <c r="G897" s="36"/>
    </row>
    <row r="898" spans="7:7" x14ac:dyDescent="0.25">
      <c r="G898" s="36"/>
    </row>
    <row r="899" spans="7:7" x14ac:dyDescent="0.25">
      <c r="G899" s="36"/>
    </row>
    <row r="900" spans="7:7" x14ac:dyDescent="0.25">
      <c r="G900" s="36"/>
    </row>
    <row r="901" spans="7:7" x14ac:dyDescent="0.25">
      <c r="G901" s="36"/>
    </row>
    <row r="902" spans="7:7" x14ac:dyDescent="0.25">
      <c r="G902" s="36"/>
    </row>
    <row r="903" spans="7:7" x14ac:dyDescent="0.25">
      <c r="G903" s="36"/>
    </row>
    <row r="904" spans="7:7" x14ac:dyDescent="0.25">
      <c r="G904" s="36"/>
    </row>
    <row r="905" spans="7:7" x14ac:dyDescent="0.25">
      <c r="G905" s="36"/>
    </row>
    <row r="906" spans="7:7" x14ac:dyDescent="0.25">
      <c r="G906" s="36"/>
    </row>
    <row r="907" spans="7:7" x14ac:dyDescent="0.25">
      <c r="G907" s="36"/>
    </row>
    <row r="908" spans="7:7" x14ac:dyDescent="0.25">
      <c r="G908" s="36"/>
    </row>
    <row r="909" spans="7:7" x14ac:dyDescent="0.25">
      <c r="G909" s="36"/>
    </row>
    <row r="910" spans="7:7" x14ac:dyDescent="0.25">
      <c r="G910" s="36"/>
    </row>
    <row r="911" spans="7:7" x14ac:dyDescent="0.25">
      <c r="G911" s="36"/>
    </row>
    <row r="912" spans="7:7" x14ac:dyDescent="0.25">
      <c r="G912" s="36"/>
    </row>
    <row r="913" spans="7:7" x14ac:dyDescent="0.25">
      <c r="G913" s="36"/>
    </row>
    <row r="914" spans="7:7" x14ac:dyDescent="0.25">
      <c r="G914" s="36"/>
    </row>
    <row r="915" spans="7:7" x14ac:dyDescent="0.25">
      <c r="G915" s="36"/>
    </row>
    <row r="916" spans="7:7" x14ac:dyDescent="0.25">
      <c r="G916" s="36"/>
    </row>
    <row r="917" spans="7:7" x14ac:dyDescent="0.25">
      <c r="G917" s="36"/>
    </row>
    <row r="918" spans="7:7" x14ac:dyDescent="0.25">
      <c r="G918" s="36"/>
    </row>
    <row r="919" spans="7:7" x14ac:dyDescent="0.25">
      <c r="G919" s="36"/>
    </row>
    <row r="920" spans="7:7" x14ac:dyDescent="0.25">
      <c r="G920" s="36"/>
    </row>
    <row r="921" spans="7:7" x14ac:dyDescent="0.25">
      <c r="G921" s="36"/>
    </row>
    <row r="922" spans="7:7" x14ac:dyDescent="0.25">
      <c r="G922" s="36"/>
    </row>
    <row r="923" spans="7:7" x14ac:dyDescent="0.25">
      <c r="G923" s="36"/>
    </row>
    <row r="924" spans="7:7" x14ac:dyDescent="0.25">
      <c r="G924" s="36"/>
    </row>
    <row r="925" spans="7:7" x14ac:dyDescent="0.25">
      <c r="G925" s="36"/>
    </row>
    <row r="926" spans="7:7" x14ac:dyDescent="0.25">
      <c r="G926" s="36"/>
    </row>
    <row r="927" spans="7:7" x14ac:dyDescent="0.25">
      <c r="G927" s="36"/>
    </row>
    <row r="928" spans="7:7" x14ac:dyDescent="0.25">
      <c r="G928" s="36"/>
    </row>
    <row r="929" spans="7:7" x14ac:dyDescent="0.25">
      <c r="G929" s="36"/>
    </row>
    <row r="930" spans="7:7" x14ac:dyDescent="0.25">
      <c r="G930" s="36"/>
    </row>
    <row r="931" spans="7:7" x14ac:dyDescent="0.25">
      <c r="G931" s="36"/>
    </row>
    <row r="932" spans="7:7" x14ac:dyDescent="0.25">
      <c r="G932" s="36"/>
    </row>
    <row r="933" spans="7:7" x14ac:dyDescent="0.25">
      <c r="G933" s="36"/>
    </row>
    <row r="934" spans="7:7" x14ac:dyDescent="0.25">
      <c r="G934" s="36"/>
    </row>
    <row r="935" spans="7:7" x14ac:dyDescent="0.25">
      <c r="G935" s="36"/>
    </row>
    <row r="936" spans="7:7" x14ac:dyDescent="0.25">
      <c r="G936" s="36"/>
    </row>
    <row r="937" spans="7:7" x14ac:dyDescent="0.25">
      <c r="G937" s="36"/>
    </row>
    <row r="938" spans="7:7" x14ac:dyDescent="0.25">
      <c r="G938" s="36"/>
    </row>
    <row r="939" spans="7:7" x14ac:dyDescent="0.25">
      <c r="G939" s="36"/>
    </row>
    <row r="940" spans="7:7" x14ac:dyDescent="0.25">
      <c r="G940" s="36"/>
    </row>
    <row r="941" spans="7:7" x14ac:dyDescent="0.25">
      <c r="G941" s="36"/>
    </row>
    <row r="942" spans="7:7" x14ac:dyDescent="0.25">
      <c r="G942" s="36"/>
    </row>
    <row r="943" spans="7:7" x14ac:dyDescent="0.25">
      <c r="G943" s="36"/>
    </row>
    <row r="944" spans="7:7" x14ac:dyDescent="0.25">
      <c r="G944" s="36"/>
    </row>
    <row r="945" spans="7:7" x14ac:dyDescent="0.25">
      <c r="G945" s="36"/>
    </row>
    <row r="946" spans="7:7" x14ac:dyDescent="0.25">
      <c r="G946" s="36"/>
    </row>
    <row r="947" spans="7:7" x14ac:dyDescent="0.25">
      <c r="G947" s="36"/>
    </row>
    <row r="948" spans="7:7" x14ac:dyDescent="0.25">
      <c r="G948" s="36"/>
    </row>
    <row r="949" spans="7:7" x14ac:dyDescent="0.25">
      <c r="G949" s="36"/>
    </row>
    <row r="950" spans="7:7" x14ac:dyDescent="0.25">
      <c r="G950" s="36"/>
    </row>
    <row r="951" spans="7:7" x14ac:dyDescent="0.25">
      <c r="G951" s="36"/>
    </row>
    <row r="952" spans="7:7" x14ac:dyDescent="0.25">
      <c r="G952" s="36"/>
    </row>
    <row r="953" spans="7:7" x14ac:dyDescent="0.25">
      <c r="G953" s="36"/>
    </row>
    <row r="954" spans="7:7" x14ac:dyDescent="0.25">
      <c r="G954" s="36"/>
    </row>
    <row r="955" spans="7:7" x14ac:dyDescent="0.25">
      <c r="G955" s="36"/>
    </row>
    <row r="956" spans="7:7" x14ac:dyDescent="0.25">
      <c r="G956" s="36"/>
    </row>
    <row r="957" spans="7:7" x14ac:dyDescent="0.25">
      <c r="G957" s="36"/>
    </row>
    <row r="958" spans="7:7" x14ac:dyDescent="0.25">
      <c r="G958" s="36"/>
    </row>
    <row r="959" spans="7:7" x14ac:dyDescent="0.25">
      <c r="G959" s="36"/>
    </row>
    <row r="960" spans="7:7" x14ac:dyDescent="0.25">
      <c r="G960" s="36"/>
    </row>
    <row r="961" spans="7:7" x14ac:dyDescent="0.25">
      <c r="G961" s="36"/>
    </row>
    <row r="962" spans="7:7" x14ac:dyDescent="0.25">
      <c r="G962" s="36"/>
    </row>
    <row r="963" spans="7:7" x14ac:dyDescent="0.25">
      <c r="G963" s="36"/>
    </row>
    <row r="964" spans="7:7" x14ac:dyDescent="0.25">
      <c r="G964" s="36"/>
    </row>
  </sheetData>
  <mergeCells count="1">
    <mergeCell ref="A1:C1"/>
  </mergeCells>
  <dataValidations count="5">
    <dataValidation type="textLength" allowBlank="1" showInputMessage="1" showErrorMessage="1" prompt="Caracteres:  12 para personas Moral,13 Personas Fisica" sqref="B3:B11" xr:uid="{00000000-0002-0000-0200-000000000000}">
      <formula1>12</formula1>
      <formula2>13</formula2>
    </dataValidation>
    <dataValidation type="textLength" allowBlank="1" showInputMessage="1" showErrorMessage="1" prompt="Caracteres  12 persona Moral,13 Persona Fisica" sqref="C17 B12 B2" xr:uid="{00000000-0002-0000-0200-000001000000}">
      <formula1>12</formula1>
      <formula2>13</formula2>
    </dataValidation>
    <dataValidation type="whole" allowBlank="1" showInputMessage="1" showErrorMessage="1" prompt="Solo admite Números" sqref="D17 C8:C12 C2" xr:uid="{00000000-0002-0000-0200-000002000000}">
      <formula1>1</formula1>
      <formula2>9999999999</formula2>
    </dataValidation>
    <dataValidation type="whole" allowBlank="1" showInputMessage="1" showErrorMessage="1" prompt="Solo admite Números" sqref="C3:C7" xr:uid="{00000000-0002-0000-0200-000003000000}">
      <formula1>0</formula1>
      <formula2>9999999999999</formula2>
    </dataValidation>
    <dataValidation allowBlank="1" showInputMessage="1" showErrorMessage="1" prompt="Caracteres:  12 para personas Moral,13 Personas Fisica" sqref="A3:A7" xr:uid="{00000000-0002-0000-0200-000004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82302E"/>
  </sheetPr>
  <dimension ref="A15:I1122"/>
  <sheetViews>
    <sheetView zoomScale="70" zoomScaleNormal="70" workbookViewId="0"/>
  </sheetViews>
  <sheetFormatPr baseColWidth="10" defaultRowHeight="15" x14ac:dyDescent="0.25"/>
  <cols>
    <col min="1" max="1" width="30.7109375" style="74" customWidth="1"/>
    <col min="2" max="2" width="7.7109375" style="6" customWidth="1"/>
    <col min="3" max="3" width="13.85546875" style="81" bestFit="1" customWidth="1"/>
    <col min="4" max="4" width="26.42578125" style="75" customWidth="1"/>
    <col min="5" max="5" width="92.140625" style="99" customWidth="1"/>
    <col min="6" max="16384" width="11.42578125" style="6"/>
  </cols>
  <sheetData>
    <row r="15" spans="1:5" s="85" customFormat="1" ht="27" customHeight="1" x14ac:dyDescent="0.25">
      <c r="A15" s="88"/>
      <c r="C15" s="100" t="s">
        <v>795</v>
      </c>
      <c r="D15" s="100" t="s">
        <v>796</v>
      </c>
      <c r="E15" s="100" t="s">
        <v>797</v>
      </c>
    </row>
    <row r="16" spans="1:5" x14ac:dyDescent="0.25">
      <c r="C16" s="89"/>
      <c r="D16" s="32">
        <v>100</v>
      </c>
      <c r="E16" s="90" t="s">
        <v>90</v>
      </c>
    </row>
    <row r="17" spans="3:5" x14ac:dyDescent="0.25">
      <c r="C17" s="91"/>
      <c r="D17" s="32">
        <v>100.01</v>
      </c>
      <c r="E17" s="90" t="s">
        <v>91</v>
      </c>
    </row>
    <row r="18" spans="3:5" x14ac:dyDescent="0.25">
      <c r="C18" s="92">
        <v>1</v>
      </c>
      <c r="D18" s="32">
        <v>101</v>
      </c>
      <c r="E18" s="90" t="s">
        <v>92</v>
      </c>
    </row>
    <row r="19" spans="3:5" x14ac:dyDescent="0.25">
      <c r="C19" s="91">
        <v>2</v>
      </c>
      <c r="D19" s="32">
        <v>101.01</v>
      </c>
      <c r="E19" s="90" t="s">
        <v>93</v>
      </c>
    </row>
    <row r="20" spans="3:5" x14ac:dyDescent="0.25">
      <c r="C20" s="92">
        <v>1</v>
      </c>
      <c r="D20" s="32">
        <v>102</v>
      </c>
      <c r="E20" s="90" t="s">
        <v>94</v>
      </c>
    </row>
    <row r="21" spans="3:5" x14ac:dyDescent="0.25">
      <c r="C21" s="92">
        <v>2</v>
      </c>
      <c r="D21" s="32">
        <v>102.01</v>
      </c>
      <c r="E21" s="90" t="s">
        <v>95</v>
      </c>
    </row>
    <row r="22" spans="3:5" x14ac:dyDescent="0.25">
      <c r="C22" s="91">
        <v>2</v>
      </c>
      <c r="D22" s="32">
        <v>102.02</v>
      </c>
      <c r="E22" s="90" t="s">
        <v>96</v>
      </c>
    </row>
    <row r="23" spans="3:5" x14ac:dyDescent="0.25">
      <c r="C23" s="92">
        <v>1</v>
      </c>
      <c r="D23" s="32">
        <v>103</v>
      </c>
      <c r="E23" s="90" t="s">
        <v>97</v>
      </c>
    </row>
    <row r="24" spans="3:5" x14ac:dyDescent="0.25">
      <c r="C24" s="92">
        <v>2</v>
      </c>
      <c r="D24" s="32">
        <v>2</v>
      </c>
      <c r="E24" s="90" t="s">
        <v>98</v>
      </c>
    </row>
    <row r="25" spans="3:5" x14ac:dyDescent="0.25">
      <c r="C25" s="92">
        <v>2</v>
      </c>
      <c r="D25" s="32">
        <v>103.02</v>
      </c>
      <c r="E25" s="90" t="s">
        <v>99</v>
      </c>
    </row>
    <row r="26" spans="3:5" x14ac:dyDescent="0.25">
      <c r="C26" s="91">
        <v>2</v>
      </c>
      <c r="D26" s="32">
        <v>103.03</v>
      </c>
      <c r="E26" s="90" t="s">
        <v>100</v>
      </c>
    </row>
    <row r="27" spans="3:5" x14ac:dyDescent="0.25">
      <c r="C27" s="92">
        <v>1</v>
      </c>
      <c r="D27" s="32">
        <v>104</v>
      </c>
      <c r="E27" s="90" t="s">
        <v>101</v>
      </c>
    </row>
    <row r="28" spans="3:5" x14ac:dyDescent="0.25">
      <c r="C28" s="91">
        <v>2</v>
      </c>
      <c r="D28" s="32">
        <v>104.01</v>
      </c>
      <c r="E28" s="90" t="s">
        <v>101</v>
      </c>
    </row>
    <row r="29" spans="3:5" x14ac:dyDescent="0.25">
      <c r="C29" s="92">
        <v>1</v>
      </c>
      <c r="D29" s="32">
        <v>105</v>
      </c>
      <c r="E29" s="90" t="s">
        <v>102</v>
      </c>
    </row>
    <row r="30" spans="3:5" x14ac:dyDescent="0.25">
      <c r="C30" s="92">
        <v>2</v>
      </c>
      <c r="D30" s="32">
        <v>105.01</v>
      </c>
      <c r="E30" s="90" t="s">
        <v>103</v>
      </c>
    </row>
    <row r="31" spans="3:5" x14ac:dyDescent="0.25">
      <c r="C31" s="92">
        <v>2</v>
      </c>
      <c r="D31" s="32">
        <v>105.02</v>
      </c>
      <c r="E31" s="90" t="s">
        <v>104</v>
      </c>
    </row>
    <row r="32" spans="3:5" x14ac:dyDescent="0.25">
      <c r="C32" s="92">
        <v>2</v>
      </c>
      <c r="D32" s="32">
        <v>105.03</v>
      </c>
      <c r="E32" s="90" t="s">
        <v>105</v>
      </c>
    </row>
    <row r="33" spans="3:5" x14ac:dyDescent="0.25">
      <c r="C33" s="91">
        <v>2</v>
      </c>
      <c r="D33" s="32">
        <v>105.04</v>
      </c>
      <c r="E33" s="90" t="s">
        <v>106</v>
      </c>
    </row>
    <row r="34" spans="3:5" x14ac:dyDescent="0.25">
      <c r="C34" s="92">
        <v>1</v>
      </c>
      <c r="D34" s="32">
        <v>106</v>
      </c>
      <c r="E34" s="90" t="s">
        <v>107</v>
      </c>
    </row>
    <row r="35" spans="3:5" x14ac:dyDescent="0.25">
      <c r="C35" s="92">
        <v>2</v>
      </c>
      <c r="D35" s="32">
        <v>106.01</v>
      </c>
      <c r="E35" s="90" t="s">
        <v>108</v>
      </c>
    </row>
    <row r="36" spans="3:5" x14ac:dyDescent="0.25">
      <c r="C36" s="92">
        <v>2</v>
      </c>
      <c r="D36" s="32">
        <v>106.02</v>
      </c>
      <c r="E36" s="90" t="s">
        <v>109</v>
      </c>
    </row>
    <row r="37" spans="3:5" x14ac:dyDescent="0.25">
      <c r="C37" s="92">
        <v>2</v>
      </c>
      <c r="D37" s="32">
        <v>106.03</v>
      </c>
      <c r="E37" s="90" t="s">
        <v>110</v>
      </c>
    </row>
    <row r="38" spans="3:5" x14ac:dyDescent="0.25">
      <c r="C38" s="92">
        <v>2</v>
      </c>
      <c r="D38" s="32">
        <v>106.04</v>
      </c>
      <c r="E38" s="90" t="s">
        <v>111</v>
      </c>
    </row>
    <row r="39" spans="3:5" x14ac:dyDescent="0.25">
      <c r="C39" s="92">
        <v>2</v>
      </c>
      <c r="D39" s="32">
        <v>106.05</v>
      </c>
      <c r="E39" s="90" t="s">
        <v>112</v>
      </c>
    </row>
    <row r="40" spans="3:5" x14ac:dyDescent="0.25">
      <c r="C40" s="92">
        <v>2</v>
      </c>
      <c r="D40" s="32">
        <v>106.06</v>
      </c>
      <c r="E40" s="90" t="s">
        <v>113</v>
      </c>
    </row>
    <row r="41" spans="3:5" x14ac:dyDescent="0.25">
      <c r="C41" s="92">
        <v>2</v>
      </c>
      <c r="D41" s="32">
        <v>106.07</v>
      </c>
      <c r="E41" s="90" t="s">
        <v>114</v>
      </c>
    </row>
    <row r="42" spans="3:5" x14ac:dyDescent="0.25">
      <c r="C42" s="92">
        <v>2</v>
      </c>
      <c r="D42" s="32">
        <v>106.08</v>
      </c>
      <c r="E42" s="90" t="s">
        <v>115</v>
      </c>
    </row>
    <row r="43" spans="3:5" x14ac:dyDescent="0.25">
      <c r="C43" s="92">
        <v>2</v>
      </c>
      <c r="D43" s="32">
        <v>106.09</v>
      </c>
      <c r="E43" s="90" t="s">
        <v>116</v>
      </c>
    </row>
    <row r="44" spans="3:5" x14ac:dyDescent="0.25">
      <c r="C44" s="91">
        <v>2</v>
      </c>
      <c r="D44" s="32">
        <v>106.1</v>
      </c>
      <c r="E44" s="90" t="s">
        <v>117</v>
      </c>
    </row>
    <row r="45" spans="3:5" x14ac:dyDescent="0.25">
      <c r="C45" s="92">
        <v>1</v>
      </c>
      <c r="D45" s="32">
        <v>107</v>
      </c>
      <c r="E45" s="90" t="s">
        <v>118</v>
      </c>
    </row>
    <row r="46" spans="3:5" x14ac:dyDescent="0.25">
      <c r="C46" s="92">
        <v>2</v>
      </c>
      <c r="D46" s="32">
        <v>107.01</v>
      </c>
      <c r="E46" s="90" t="s">
        <v>119</v>
      </c>
    </row>
    <row r="47" spans="3:5" x14ac:dyDescent="0.25">
      <c r="C47" s="92">
        <v>2</v>
      </c>
      <c r="D47" s="32">
        <v>107.02</v>
      </c>
      <c r="E47" s="90" t="s">
        <v>120</v>
      </c>
    </row>
    <row r="48" spans="3:5" x14ac:dyDescent="0.25">
      <c r="C48" s="92">
        <v>2</v>
      </c>
      <c r="D48" s="32">
        <v>107.03</v>
      </c>
      <c r="E48" s="90" t="s">
        <v>121</v>
      </c>
    </row>
    <row r="49" spans="3:5" x14ac:dyDescent="0.25">
      <c r="C49" s="92">
        <v>2</v>
      </c>
      <c r="D49" s="32">
        <v>107.04</v>
      </c>
      <c r="E49" s="90" t="s">
        <v>122</v>
      </c>
    </row>
    <row r="50" spans="3:5" x14ac:dyDescent="0.25">
      <c r="C50" s="91">
        <v>2</v>
      </c>
      <c r="D50" s="32">
        <v>107.05</v>
      </c>
      <c r="E50" s="90" t="s">
        <v>123</v>
      </c>
    </row>
    <row r="51" spans="3:5" x14ac:dyDescent="0.25">
      <c r="C51" s="93">
        <v>1</v>
      </c>
      <c r="D51" s="32">
        <v>108</v>
      </c>
      <c r="E51" s="94" t="s">
        <v>124</v>
      </c>
    </row>
    <row r="52" spans="3:5" x14ac:dyDescent="0.25">
      <c r="C52" s="18">
        <v>2</v>
      </c>
      <c r="D52" s="32">
        <v>108.01</v>
      </c>
      <c r="E52" s="13" t="s">
        <v>125</v>
      </c>
    </row>
    <row r="53" spans="3:5" x14ac:dyDescent="0.25">
      <c r="C53" s="95">
        <v>2</v>
      </c>
      <c r="D53" s="32">
        <v>108.02</v>
      </c>
      <c r="E53" s="96" t="s">
        <v>126</v>
      </c>
    </row>
    <row r="54" spans="3:5" x14ac:dyDescent="0.25">
      <c r="C54" s="92">
        <v>2</v>
      </c>
      <c r="D54" s="32">
        <v>108.03</v>
      </c>
      <c r="E54" s="90" t="s">
        <v>127</v>
      </c>
    </row>
    <row r="55" spans="3:5" x14ac:dyDescent="0.25">
      <c r="C55" s="92">
        <v>2</v>
      </c>
      <c r="D55" s="32">
        <v>108.04</v>
      </c>
      <c r="E55" s="90" t="s">
        <v>128</v>
      </c>
    </row>
    <row r="56" spans="3:5" x14ac:dyDescent="0.25">
      <c r="C56" s="91">
        <v>1</v>
      </c>
      <c r="D56" s="32">
        <v>109</v>
      </c>
      <c r="E56" s="97" t="s">
        <v>129</v>
      </c>
    </row>
    <row r="57" spans="3:5" x14ac:dyDescent="0.25">
      <c r="C57" s="92">
        <v>2</v>
      </c>
      <c r="D57" s="32">
        <v>109.01</v>
      </c>
      <c r="E57" s="90" t="s">
        <v>130</v>
      </c>
    </row>
    <row r="58" spans="3:5" x14ac:dyDescent="0.25">
      <c r="C58" s="92">
        <v>2</v>
      </c>
      <c r="D58" s="32">
        <v>109.02</v>
      </c>
      <c r="E58" s="90" t="s">
        <v>131</v>
      </c>
    </row>
    <row r="59" spans="3:5" x14ac:dyDescent="0.25">
      <c r="C59" s="92">
        <v>2</v>
      </c>
      <c r="D59" s="32">
        <v>109.03</v>
      </c>
      <c r="E59" s="90" t="s">
        <v>132</v>
      </c>
    </row>
    <row r="60" spans="3:5" x14ac:dyDescent="0.25">
      <c r="C60" s="92">
        <v>2</v>
      </c>
      <c r="D60" s="32">
        <v>109.04</v>
      </c>
      <c r="E60" s="90" t="s">
        <v>133</v>
      </c>
    </row>
    <row r="61" spans="3:5" x14ac:dyDescent="0.25">
      <c r="C61" s="92">
        <v>2</v>
      </c>
      <c r="D61" s="32">
        <v>109.05</v>
      </c>
      <c r="E61" s="90" t="s">
        <v>134</v>
      </c>
    </row>
    <row r="62" spans="3:5" x14ac:dyDescent="0.25">
      <c r="C62" s="92">
        <v>2</v>
      </c>
      <c r="D62" s="32">
        <v>109.06</v>
      </c>
      <c r="E62" s="90" t="s">
        <v>135</v>
      </c>
    </row>
    <row r="63" spans="3:5" x14ac:dyDescent="0.25">
      <c r="C63" s="92">
        <v>2</v>
      </c>
      <c r="D63" s="32">
        <v>109.07</v>
      </c>
      <c r="E63" s="90" t="s">
        <v>136</v>
      </c>
    </row>
    <row r="64" spans="3:5" x14ac:dyDescent="0.25">
      <c r="C64" s="92">
        <v>2</v>
      </c>
      <c r="D64" s="32">
        <v>109.08</v>
      </c>
      <c r="E64" s="90" t="s">
        <v>137</v>
      </c>
    </row>
    <row r="65" spans="3:5" x14ac:dyDescent="0.25">
      <c r="C65" s="92">
        <v>2</v>
      </c>
      <c r="D65" s="32">
        <v>109.09</v>
      </c>
      <c r="E65" s="90" t="s">
        <v>138</v>
      </c>
    </row>
    <row r="66" spans="3:5" x14ac:dyDescent="0.25">
      <c r="C66" s="92">
        <v>2</v>
      </c>
      <c r="D66" s="32">
        <v>109.1</v>
      </c>
      <c r="E66" s="90" t="s">
        <v>139</v>
      </c>
    </row>
    <row r="67" spans="3:5" x14ac:dyDescent="0.25">
      <c r="C67" s="92">
        <v>2</v>
      </c>
      <c r="D67" s="32">
        <v>109.11</v>
      </c>
      <c r="E67" s="90" t="s">
        <v>140</v>
      </c>
    </row>
    <row r="68" spans="3:5" x14ac:dyDescent="0.25">
      <c r="C68" s="92">
        <v>2</v>
      </c>
      <c r="D68" s="32">
        <v>109.12</v>
      </c>
      <c r="E68" s="90" t="s">
        <v>141</v>
      </c>
    </row>
    <row r="69" spans="3:5" x14ac:dyDescent="0.25">
      <c r="C69" s="92">
        <v>2</v>
      </c>
      <c r="D69" s="32">
        <v>109.13</v>
      </c>
      <c r="E69" s="90" t="s">
        <v>142</v>
      </c>
    </row>
    <row r="70" spans="3:5" x14ac:dyDescent="0.25">
      <c r="C70" s="92">
        <v>2</v>
      </c>
      <c r="D70" s="32">
        <v>109.14</v>
      </c>
      <c r="E70" s="90" t="s">
        <v>143</v>
      </c>
    </row>
    <row r="71" spans="3:5" x14ac:dyDescent="0.25">
      <c r="C71" s="92">
        <v>2</v>
      </c>
      <c r="D71" s="32">
        <v>109.15</v>
      </c>
      <c r="E71" s="90" t="s">
        <v>144</v>
      </c>
    </row>
    <row r="72" spans="3:5" x14ac:dyDescent="0.25">
      <c r="C72" s="92">
        <v>2</v>
      </c>
      <c r="D72" s="32">
        <v>109.16</v>
      </c>
      <c r="E72" s="90" t="s">
        <v>145</v>
      </c>
    </row>
    <row r="73" spans="3:5" x14ac:dyDescent="0.25">
      <c r="C73" s="92">
        <v>2</v>
      </c>
      <c r="D73" s="32">
        <v>109.17</v>
      </c>
      <c r="E73" s="90" t="s">
        <v>146</v>
      </c>
    </row>
    <row r="74" spans="3:5" x14ac:dyDescent="0.25">
      <c r="C74" s="92">
        <v>2</v>
      </c>
      <c r="D74" s="32">
        <v>109.18</v>
      </c>
      <c r="E74" s="90" t="s">
        <v>147</v>
      </c>
    </row>
    <row r="75" spans="3:5" x14ac:dyDescent="0.25">
      <c r="C75" s="92">
        <v>2</v>
      </c>
      <c r="D75" s="32">
        <v>109.19</v>
      </c>
      <c r="E75" s="90" t="s">
        <v>148</v>
      </c>
    </row>
    <row r="76" spans="3:5" x14ac:dyDescent="0.25">
      <c r="C76" s="92">
        <v>2</v>
      </c>
      <c r="D76" s="32">
        <v>109.2</v>
      </c>
      <c r="E76" s="90" t="s">
        <v>149</v>
      </c>
    </row>
    <row r="77" spans="3:5" x14ac:dyDescent="0.25">
      <c r="C77" s="92">
        <v>2</v>
      </c>
      <c r="D77" s="32">
        <v>109.21</v>
      </c>
      <c r="E77" s="90" t="s">
        <v>150</v>
      </c>
    </row>
    <row r="78" spans="3:5" x14ac:dyDescent="0.25">
      <c r="C78" s="92">
        <v>2</v>
      </c>
      <c r="D78" s="32">
        <v>109.22</v>
      </c>
      <c r="E78" s="90" t="s">
        <v>151</v>
      </c>
    </row>
    <row r="79" spans="3:5" x14ac:dyDescent="0.25">
      <c r="C79" s="92">
        <v>2</v>
      </c>
      <c r="D79" s="32">
        <v>109.23</v>
      </c>
      <c r="E79" s="90" t="s">
        <v>152</v>
      </c>
    </row>
    <row r="80" spans="3:5" x14ac:dyDescent="0.25">
      <c r="C80" s="91">
        <v>1</v>
      </c>
      <c r="D80" s="32">
        <v>110</v>
      </c>
      <c r="E80" s="97" t="s">
        <v>153</v>
      </c>
    </row>
    <row r="81" spans="3:5" x14ac:dyDescent="0.25">
      <c r="C81" s="92">
        <v>2</v>
      </c>
      <c r="D81" s="32">
        <v>110.01</v>
      </c>
      <c r="E81" s="90" t="s">
        <v>153</v>
      </c>
    </row>
    <row r="82" spans="3:5" x14ac:dyDescent="0.25">
      <c r="C82" s="91">
        <v>1</v>
      </c>
      <c r="D82" s="32">
        <v>111</v>
      </c>
      <c r="E82" s="97" t="s">
        <v>154</v>
      </c>
    </row>
    <row r="83" spans="3:5" x14ac:dyDescent="0.25">
      <c r="C83" s="92">
        <v>2</v>
      </c>
      <c r="D83" s="32">
        <v>111.01</v>
      </c>
      <c r="E83" s="90" t="s">
        <v>154</v>
      </c>
    </row>
    <row r="84" spans="3:5" x14ac:dyDescent="0.25">
      <c r="C84" s="91">
        <v>1</v>
      </c>
      <c r="D84" s="32">
        <v>112</v>
      </c>
      <c r="E84" s="97" t="s">
        <v>155</v>
      </c>
    </row>
    <row r="85" spans="3:5" x14ac:dyDescent="0.25">
      <c r="C85" s="92">
        <v>2</v>
      </c>
      <c r="D85" s="32">
        <v>112.01</v>
      </c>
      <c r="E85" s="90" t="s">
        <v>155</v>
      </c>
    </row>
    <row r="86" spans="3:5" x14ac:dyDescent="0.25">
      <c r="C86" s="91">
        <v>1</v>
      </c>
      <c r="D86" s="32">
        <v>113</v>
      </c>
      <c r="E86" s="97" t="s">
        <v>156</v>
      </c>
    </row>
    <row r="87" spans="3:5" x14ac:dyDescent="0.25">
      <c r="C87" s="92">
        <v>2</v>
      </c>
      <c r="D87" s="32">
        <v>113.01</v>
      </c>
      <c r="E87" s="90" t="s">
        <v>157</v>
      </c>
    </row>
    <row r="88" spans="3:5" x14ac:dyDescent="0.25">
      <c r="C88" s="92">
        <v>2</v>
      </c>
      <c r="D88" s="32">
        <v>113.02</v>
      </c>
      <c r="E88" s="90" t="s">
        <v>158</v>
      </c>
    </row>
    <row r="89" spans="3:5" x14ac:dyDescent="0.25">
      <c r="C89" s="92">
        <v>2</v>
      </c>
      <c r="D89" s="32">
        <v>113.03</v>
      </c>
      <c r="E89" s="90" t="s">
        <v>159</v>
      </c>
    </row>
    <row r="90" spans="3:5" x14ac:dyDescent="0.25">
      <c r="C90" s="92">
        <v>2</v>
      </c>
      <c r="D90" s="32">
        <v>113.04</v>
      </c>
      <c r="E90" s="90" t="s">
        <v>160</v>
      </c>
    </row>
    <row r="91" spans="3:5" x14ac:dyDescent="0.25">
      <c r="C91" s="92">
        <v>2</v>
      </c>
      <c r="D91" s="32">
        <v>113.05</v>
      </c>
      <c r="E91" s="90" t="s">
        <v>161</v>
      </c>
    </row>
    <row r="92" spans="3:5" x14ac:dyDescent="0.25">
      <c r="C92" s="92">
        <v>2</v>
      </c>
      <c r="D92" s="32">
        <v>113.06</v>
      </c>
      <c r="E92" s="90" t="s">
        <v>162</v>
      </c>
    </row>
    <row r="93" spans="3:5" x14ac:dyDescent="0.25">
      <c r="C93" s="92">
        <v>2</v>
      </c>
      <c r="D93" s="32">
        <v>113.07</v>
      </c>
      <c r="E93" s="90" t="s">
        <v>163</v>
      </c>
    </row>
    <row r="94" spans="3:5" x14ac:dyDescent="0.25">
      <c r="C94" s="92">
        <v>2</v>
      </c>
      <c r="D94" s="32">
        <v>113.08</v>
      </c>
      <c r="E94" s="90" t="s">
        <v>164</v>
      </c>
    </row>
    <row r="95" spans="3:5" x14ac:dyDescent="0.25">
      <c r="C95" s="91">
        <v>1</v>
      </c>
      <c r="D95" s="32">
        <v>114</v>
      </c>
      <c r="E95" s="97" t="s">
        <v>165</v>
      </c>
    </row>
    <row r="96" spans="3:5" x14ac:dyDescent="0.25">
      <c r="C96" s="92">
        <v>2</v>
      </c>
      <c r="D96" s="32">
        <v>114.01</v>
      </c>
      <c r="E96" s="90" t="s">
        <v>166</v>
      </c>
    </row>
    <row r="97" spans="3:5" x14ac:dyDescent="0.25">
      <c r="C97" s="91">
        <v>1</v>
      </c>
      <c r="D97" s="32">
        <v>115</v>
      </c>
      <c r="E97" s="97" t="s">
        <v>167</v>
      </c>
    </row>
    <row r="98" spans="3:5" x14ac:dyDescent="0.25">
      <c r="C98" s="92">
        <v>2</v>
      </c>
      <c r="D98" s="32">
        <v>115.01</v>
      </c>
      <c r="E98" s="90" t="s">
        <v>167</v>
      </c>
    </row>
    <row r="99" spans="3:5" x14ac:dyDescent="0.25">
      <c r="C99" s="92">
        <v>2</v>
      </c>
      <c r="D99" s="32">
        <v>115.02</v>
      </c>
      <c r="E99" s="90" t="s">
        <v>168</v>
      </c>
    </row>
    <row r="100" spans="3:5" x14ac:dyDescent="0.25">
      <c r="C100" s="92">
        <v>2</v>
      </c>
      <c r="D100" s="32">
        <v>115.03</v>
      </c>
      <c r="E100" s="90" t="s">
        <v>169</v>
      </c>
    </row>
    <row r="101" spans="3:5" x14ac:dyDescent="0.25">
      <c r="C101" s="92">
        <v>2</v>
      </c>
      <c r="D101" s="32">
        <v>115.04</v>
      </c>
      <c r="E101" s="90" t="s">
        <v>170</v>
      </c>
    </row>
    <row r="102" spans="3:5" x14ac:dyDescent="0.25">
      <c r="C102" s="92">
        <v>2</v>
      </c>
      <c r="D102" s="32">
        <v>115.05</v>
      </c>
      <c r="E102" s="90" t="s">
        <v>171</v>
      </c>
    </row>
    <row r="103" spans="3:5" x14ac:dyDescent="0.25">
      <c r="C103" s="92">
        <v>2</v>
      </c>
      <c r="D103" s="32">
        <v>115.06</v>
      </c>
      <c r="E103" s="90" t="s">
        <v>172</v>
      </c>
    </row>
    <row r="104" spans="3:5" x14ac:dyDescent="0.25">
      <c r="C104" s="92">
        <v>2</v>
      </c>
      <c r="D104" s="32">
        <v>115.07</v>
      </c>
      <c r="E104" s="90" t="s">
        <v>173</v>
      </c>
    </row>
    <row r="105" spans="3:5" x14ac:dyDescent="0.25">
      <c r="C105" s="91">
        <v>1</v>
      </c>
      <c r="D105" s="32">
        <v>116</v>
      </c>
      <c r="E105" s="97" t="s">
        <v>174</v>
      </c>
    </row>
    <row r="106" spans="3:5" x14ac:dyDescent="0.25">
      <c r="C106" s="92">
        <v>2</v>
      </c>
      <c r="D106" s="32">
        <v>116.01</v>
      </c>
      <c r="E106" s="90" t="s">
        <v>174</v>
      </c>
    </row>
    <row r="107" spans="3:5" x14ac:dyDescent="0.25">
      <c r="C107" s="91">
        <v>1</v>
      </c>
      <c r="D107" s="32">
        <v>117</v>
      </c>
      <c r="E107" s="97" t="s">
        <v>175</v>
      </c>
    </row>
    <row r="108" spans="3:5" x14ac:dyDescent="0.25">
      <c r="C108" s="92">
        <v>2</v>
      </c>
      <c r="D108" s="32">
        <v>117.01</v>
      </c>
      <c r="E108" s="90" t="s">
        <v>175</v>
      </c>
    </row>
    <row r="109" spans="3:5" x14ac:dyDescent="0.25">
      <c r="C109" s="91">
        <v>1</v>
      </c>
      <c r="D109" s="32">
        <v>118</v>
      </c>
      <c r="E109" s="97" t="s">
        <v>176</v>
      </c>
    </row>
    <row r="110" spans="3:5" x14ac:dyDescent="0.25">
      <c r="C110" s="92">
        <v>2</v>
      </c>
      <c r="D110" s="32">
        <v>118.01</v>
      </c>
      <c r="E110" s="90" t="s">
        <v>177</v>
      </c>
    </row>
    <row r="111" spans="3:5" x14ac:dyDescent="0.25">
      <c r="C111" s="92">
        <v>2</v>
      </c>
      <c r="D111" s="32">
        <v>118.02</v>
      </c>
      <c r="E111" s="90" t="s">
        <v>178</v>
      </c>
    </row>
    <row r="112" spans="3:5" x14ac:dyDescent="0.25">
      <c r="C112" s="92">
        <v>2</v>
      </c>
      <c r="D112" s="32">
        <v>118.03</v>
      </c>
      <c r="E112" s="90" t="s">
        <v>179</v>
      </c>
    </row>
    <row r="113" spans="3:5" x14ac:dyDescent="0.25">
      <c r="C113" s="92">
        <v>2</v>
      </c>
      <c r="D113" s="32">
        <v>118.04</v>
      </c>
      <c r="E113" s="90" t="s">
        <v>180</v>
      </c>
    </row>
    <row r="114" spans="3:5" x14ac:dyDescent="0.25">
      <c r="C114" s="91">
        <v>1</v>
      </c>
      <c r="D114" s="32">
        <v>119</v>
      </c>
      <c r="E114" s="97" t="s">
        <v>181</v>
      </c>
    </row>
    <row r="115" spans="3:5" x14ac:dyDescent="0.25">
      <c r="C115" s="92">
        <v>2</v>
      </c>
      <c r="D115" s="32">
        <v>119.01</v>
      </c>
      <c r="E115" s="90" t="s">
        <v>182</v>
      </c>
    </row>
    <row r="116" spans="3:5" x14ac:dyDescent="0.25">
      <c r="C116" s="92">
        <v>2</v>
      </c>
      <c r="D116" s="32">
        <v>119.02</v>
      </c>
      <c r="E116" s="90" t="s">
        <v>183</v>
      </c>
    </row>
    <row r="117" spans="3:5" x14ac:dyDescent="0.25">
      <c r="C117" s="92">
        <v>2</v>
      </c>
      <c r="D117" s="32">
        <v>119.03</v>
      </c>
      <c r="E117" s="90" t="s">
        <v>184</v>
      </c>
    </row>
    <row r="118" spans="3:5" x14ac:dyDescent="0.25">
      <c r="C118" s="92">
        <v>2</v>
      </c>
      <c r="D118" s="32">
        <v>119.04</v>
      </c>
      <c r="E118" s="90" t="s">
        <v>185</v>
      </c>
    </row>
    <row r="119" spans="3:5" x14ac:dyDescent="0.25">
      <c r="C119" s="91">
        <v>1</v>
      </c>
      <c r="D119" s="32">
        <v>120</v>
      </c>
      <c r="E119" s="97" t="s">
        <v>186</v>
      </c>
    </row>
    <row r="120" spans="3:5" x14ac:dyDescent="0.25">
      <c r="C120" s="92">
        <v>2</v>
      </c>
      <c r="D120" s="32">
        <v>120.01</v>
      </c>
      <c r="E120" s="90" t="s">
        <v>187</v>
      </c>
    </row>
    <row r="121" spans="3:5" x14ac:dyDescent="0.25">
      <c r="C121" s="92">
        <v>2</v>
      </c>
      <c r="D121" s="32">
        <v>120.02</v>
      </c>
      <c r="E121" s="90" t="s">
        <v>188</v>
      </c>
    </row>
    <row r="122" spans="3:5" x14ac:dyDescent="0.25">
      <c r="C122" s="92">
        <v>2</v>
      </c>
      <c r="D122" s="32">
        <v>120.03</v>
      </c>
      <c r="E122" s="90" t="s">
        <v>189</v>
      </c>
    </row>
    <row r="123" spans="3:5" x14ac:dyDescent="0.25">
      <c r="C123" s="92">
        <v>2</v>
      </c>
      <c r="D123" s="32">
        <v>120.04</v>
      </c>
      <c r="E123" s="90" t="s">
        <v>190</v>
      </c>
    </row>
    <row r="124" spans="3:5" x14ac:dyDescent="0.25">
      <c r="C124" s="91">
        <v>1</v>
      </c>
      <c r="D124" s="32">
        <v>121</v>
      </c>
      <c r="E124" s="97" t="s">
        <v>191</v>
      </c>
    </row>
    <row r="125" spans="3:5" x14ac:dyDescent="0.25">
      <c r="C125" s="92">
        <v>2</v>
      </c>
      <c r="D125" s="32">
        <v>121.01</v>
      </c>
      <c r="E125" s="90" t="s">
        <v>191</v>
      </c>
    </row>
    <row r="126" spans="3:5" x14ac:dyDescent="0.25">
      <c r="C126" s="89"/>
      <c r="D126" s="32">
        <v>100.02</v>
      </c>
      <c r="E126" s="97" t="s">
        <v>192</v>
      </c>
    </row>
    <row r="127" spans="3:5" x14ac:dyDescent="0.25">
      <c r="C127" s="91">
        <v>1</v>
      </c>
      <c r="D127" s="32">
        <v>151</v>
      </c>
      <c r="E127" s="97" t="s">
        <v>193</v>
      </c>
    </row>
    <row r="128" spans="3:5" x14ac:dyDescent="0.25">
      <c r="C128" s="92">
        <v>2</v>
      </c>
      <c r="D128" s="32">
        <v>151.01</v>
      </c>
      <c r="E128" s="90" t="s">
        <v>193</v>
      </c>
    </row>
    <row r="129" spans="3:5" x14ac:dyDescent="0.25">
      <c r="C129" s="91">
        <v>1</v>
      </c>
      <c r="D129" s="32">
        <v>152</v>
      </c>
      <c r="E129" s="97" t="s">
        <v>194</v>
      </c>
    </row>
    <row r="130" spans="3:5" x14ac:dyDescent="0.25">
      <c r="C130" s="92">
        <v>2</v>
      </c>
      <c r="D130" s="32">
        <v>152.01</v>
      </c>
      <c r="E130" s="90" t="s">
        <v>194</v>
      </c>
    </row>
    <row r="131" spans="3:5" x14ac:dyDescent="0.25">
      <c r="C131" s="91">
        <v>1</v>
      </c>
      <c r="D131" s="32">
        <v>153</v>
      </c>
      <c r="E131" s="97" t="s">
        <v>195</v>
      </c>
    </row>
    <row r="132" spans="3:5" x14ac:dyDescent="0.25">
      <c r="C132" s="92">
        <v>2</v>
      </c>
      <c r="D132" s="32">
        <v>153.01</v>
      </c>
      <c r="E132" s="90" t="s">
        <v>195</v>
      </c>
    </row>
    <row r="133" spans="3:5" x14ac:dyDescent="0.25">
      <c r="C133" s="91">
        <v>1</v>
      </c>
      <c r="D133" s="32">
        <v>154</v>
      </c>
      <c r="E133" s="97" t="s">
        <v>196</v>
      </c>
    </row>
    <row r="134" spans="3:5" x14ac:dyDescent="0.25">
      <c r="C134" s="92">
        <v>2</v>
      </c>
      <c r="D134" s="32">
        <v>154.01</v>
      </c>
      <c r="E134" s="90" t="s">
        <v>196</v>
      </c>
    </row>
    <row r="135" spans="3:5" x14ac:dyDescent="0.25">
      <c r="C135" s="91">
        <v>1</v>
      </c>
      <c r="D135" s="32">
        <v>155</v>
      </c>
      <c r="E135" s="97" t="s">
        <v>3</v>
      </c>
    </row>
    <row r="136" spans="3:5" x14ac:dyDescent="0.25">
      <c r="C136" s="92">
        <v>2</v>
      </c>
      <c r="D136" s="32">
        <v>155.01</v>
      </c>
      <c r="E136" s="90" t="s">
        <v>3</v>
      </c>
    </row>
    <row r="137" spans="3:5" x14ac:dyDescent="0.25">
      <c r="C137" s="91">
        <v>1</v>
      </c>
      <c r="D137" s="32">
        <v>156</v>
      </c>
      <c r="E137" s="97" t="s">
        <v>197</v>
      </c>
    </row>
    <row r="138" spans="3:5" x14ac:dyDescent="0.25">
      <c r="C138" s="92">
        <v>2</v>
      </c>
      <c r="D138" s="32">
        <v>156.01</v>
      </c>
      <c r="E138" s="90" t="s">
        <v>197</v>
      </c>
    </row>
    <row r="139" spans="3:5" x14ac:dyDescent="0.25">
      <c r="C139" s="91">
        <v>1</v>
      </c>
      <c r="D139" s="32">
        <v>157</v>
      </c>
      <c r="E139" s="97" t="s">
        <v>198</v>
      </c>
    </row>
    <row r="140" spans="3:5" x14ac:dyDescent="0.25">
      <c r="C140" s="92">
        <v>2</v>
      </c>
      <c r="D140" s="32">
        <v>157.01</v>
      </c>
      <c r="E140" s="90" t="s">
        <v>198</v>
      </c>
    </row>
    <row r="141" spans="3:5" x14ac:dyDescent="0.25">
      <c r="C141" s="91">
        <v>1</v>
      </c>
      <c r="D141" s="32">
        <v>158</v>
      </c>
      <c r="E141" s="97" t="s">
        <v>199</v>
      </c>
    </row>
    <row r="142" spans="3:5" x14ac:dyDescent="0.25">
      <c r="C142" s="92">
        <v>2</v>
      </c>
      <c r="D142" s="32">
        <v>158.01</v>
      </c>
      <c r="E142" s="90" t="s">
        <v>199</v>
      </c>
    </row>
    <row r="143" spans="3:5" x14ac:dyDescent="0.25">
      <c r="C143" s="91">
        <v>1</v>
      </c>
      <c r="D143" s="32">
        <v>159</v>
      </c>
      <c r="E143" s="97" t="s">
        <v>200</v>
      </c>
    </row>
    <row r="144" spans="3:5" x14ac:dyDescent="0.25">
      <c r="C144" s="92">
        <v>2</v>
      </c>
      <c r="D144" s="32">
        <v>159.01</v>
      </c>
      <c r="E144" s="90" t="s">
        <v>200</v>
      </c>
    </row>
    <row r="145" spans="3:5" x14ac:dyDescent="0.25">
      <c r="C145" s="91">
        <v>1</v>
      </c>
      <c r="D145" s="32">
        <v>160</v>
      </c>
      <c r="E145" s="97" t="s">
        <v>201</v>
      </c>
    </row>
    <row r="146" spans="3:5" x14ac:dyDescent="0.25">
      <c r="C146" s="92">
        <v>2</v>
      </c>
      <c r="D146" s="32">
        <v>160.01</v>
      </c>
      <c r="E146" s="90" t="s">
        <v>201</v>
      </c>
    </row>
    <row r="147" spans="3:5" x14ac:dyDescent="0.25">
      <c r="C147" s="91">
        <v>1</v>
      </c>
      <c r="D147" s="32">
        <v>161</v>
      </c>
      <c r="E147" s="97" t="s">
        <v>202</v>
      </c>
    </row>
    <row r="148" spans="3:5" x14ac:dyDescent="0.25">
      <c r="C148" s="92">
        <v>2</v>
      </c>
      <c r="D148" s="32">
        <v>161.01</v>
      </c>
      <c r="E148" s="90" t="s">
        <v>202</v>
      </c>
    </row>
    <row r="149" spans="3:5" x14ac:dyDescent="0.25">
      <c r="C149" s="91">
        <v>1</v>
      </c>
      <c r="D149" s="32">
        <v>162</v>
      </c>
      <c r="E149" s="97" t="s">
        <v>203</v>
      </c>
    </row>
    <row r="150" spans="3:5" x14ac:dyDescent="0.25">
      <c r="C150" s="92">
        <v>2</v>
      </c>
      <c r="D150" s="32">
        <v>162.01</v>
      </c>
      <c r="E150" s="90" t="s">
        <v>203</v>
      </c>
    </row>
    <row r="151" spans="3:5" x14ac:dyDescent="0.25">
      <c r="C151" s="91">
        <v>1</v>
      </c>
      <c r="D151" s="32">
        <v>163</v>
      </c>
      <c r="E151" s="97" t="s">
        <v>204</v>
      </c>
    </row>
    <row r="152" spans="3:5" x14ac:dyDescent="0.25">
      <c r="C152" s="92">
        <v>2</v>
      </c>
      <c r="D152" s="32">
        <v>163.01</v>
      </c>
      <c r="E152" s="90" t="s">
        <v>204</v>
      </c>
    </row>
    <row r="153" spans="3:5" x14ac:dyDescent="0.25">
      <c r="C153" s="91">
        <v>1</v>
      </c>
      <c r="D153" s="32">
        <v>164</v>
      </c>
      <c r="E153" s="97" t="s">
        <v>205</v>
      </c>
    </row>
    <row r="154" spans="3:5" x14ac:dyDescent="0.25">
      <c r="C154" s="92">
        <v>2</v>
      </c>
      <c r="D154" s="32">
        <v>164.01</v>
      </c>
      <c r="E154" s="90" t="s">
        <v>205</v>
      </c>
    </row>
    <row r="155" spans="3:5" x14ac:dyDescent="0.25">
      <c r="C155" s="91">
        <v>1</v>
      </c>
      <c r="D155" s="32">
        <v>165</v>
      </c>
      <c r="E155" s="97" t="s">
        <v>206</v>
      </c>
    </row>
    <row r="156" spans="3:5" x14ac:dyDescent="0.25">
      <c r="C156" s="92">
        <v>2</v>
      </c>
      <c r="D156" s="32">
        <v>165.01</v>
      </c>
      <c r="E156" s="90" t="s">
        <v>206</v>
      </c>
    </row>
    <row r="157" spans="3:5" x14ac:dyDescent="0.25">
      <c r="C157" s="91">
        <v>1</v>
      </c>
      <c r="D157" s="32">
        <v>166</v>
      </c>
      <c r="E157" s="97" t="s">
        <v>207</v>
      </c>
    </row>
    <row r="158" spans="3:5" x14ac:dyDescent="0.25">
      <c r="C158" s="92">
        <v>2</v>
      </c>
      <c r="D158" s="32">
        <v>166.01</v>
      </c>
      <c r="E158" s="90" t="s">
        <v>207</v>
      </c>
    </row>
    <row r="159" spans="3:5" x14ac:dyDescent="0.25">
      <c r="C159" s="91">
        <v>1</v>
      </c>
      <c r="D159" s="32">
        <v>167</v>
      </c>
      <c r="E159" s="97" t="s">
        <v>208</v>
      </c>
    </row>
    <row r="160" spans="3:5" x14ac:dyDescent="0.25">
      <c r="C160" s="92">
        <v>2</v>
      </c>
      <c r="D160" s="32">
        <v>167.01</v>
      </c>
      <c r="E160" s="90" t="s">
        <v>208</v>
      </c>
    </row>
    <row r="161" spans="3:5" ht="30" x14ac:dyDescent="0.25">
      <c r="C161" s="91">
        <v>1</v>
      </c>
      <c r="D161" s="32">
        <v>168</v>
      </c>
      <c r="E161" s="97" t="s">
        <v>209</v>
      </c>
    </row>
    <row r="162" spans="3:5" ht="30" x14ac:dyDescent="0.25">
      <c r="C162" s="92">
        <v>2</v>
      </c>
      <c r="D162" s="32">
        <v>168.01</v>
      </c>
      <c r="E162" s="98" t="s">
        <v>209</v>
      </c>
    </row>
    <row r="163" spans="3:5" x14ac:dyDescent="0.25">
      <c r="C163" s="91">
        <v>1</v>
      </c>
      <c r="D163" s="32">
        <v>169</v>
      </c>
      <c r="E163" s="97" t="s">
        <v>210</v>
      </c>
    </row>
    <row r="164" spans="3:5" x14ac:dyDescent="0.25">
      <c r="C164" s="92">
        <v>2</v>
      </c>
      <c r="D164" s="32">
        <v>169.01</v>
      </c>
      <c r="E164" s="90" t="s">
        <v>210</v>
      </c>
    </row>
    <row r="165" spans="3:5" x14ac:dyDescent="0.25">
      <c r="C165" s="91">
        <v>1</v>
      </c>
      <c r="D165" s="32">
        <v>170</v>
      </c>
      <c r="E165" s="97" t="s">
        <v>211</v>
      </c>
    </row>
    <row r="166" spans="3:5" x14ac:dyDescent="0.25">
      <c r="C166" s="92">
        <v>2</v>
      </c>
      <c r="D166" s="32">
        <v>170.01</v>
      </c>
      <c r="E166" s="90" t="s">
        <v>211</v>
      </c>
    </row>
    <row r="167" spans="3:5" x14ac:dyDescent="0.25">
      <c r="C167" s="91">
        <v>1</v>
      </c>
      <c r="D167" s="32">
        <v>171</v>
      </c>
      <c r="E167" s="97" t="s">
        <v>212</v>
      </c>
    </row>
    <row r="168" spans="3:5" x14ac:dyDescent="0.25">
      <c r="C168" s="92">
        <v>2</v>
      </c>
      <c r="D168" s="32">
        <v>171.01</v>
      </c>
      <c r="E168" s="90" t="s">
        <v>213</v>
      </c>
    </row>
    <row r="169" spans="3:5" x14ac:dyDescent="0.25">
      <c r="C169" s="92">
        <v>2</v>
      </c>
      <c r="D169" s="32">
        <v>171.02</v>
      </c>
      <c r="E169" s="90" t="s">
        <v>214</v>
      </c>
    </row>
    <row r="170" spans="3:5" ht="30" x14ac:dyDescent="0.25">
      <c r="C170" s="92">
        <v>2</v>
      </c>
      <c r="D170" s="32">
        <v>171.03</v>
      </c>
      <c r="E170" s="98" t="s">
        <v>215</v>
      </c>
    </row>
    <row r="171" spans="3:5" x14ac:dyDescent="0.25">
      <c r="C171" s="92">
        <v>2</v>
      </c>
      <c r="D171" s="32">
        <v>171.04</v>
      </c>
      <c r="E171" s="90" t="s">
        <v>216</v>
      </c>
    </row>
    <row r="172" spans="3:5" x14ac:dyDescent="0.25">
      <c r="C172" s="92">
        <v>2</v>
      </c>
      <c r="D172" s="32">
        <v>171.05</v>
      </c>
      <c r="E172" s="90" t="s">
        <v>217</v>
      </c>
    </row>
    <row r="173" spans="3:5" x14ac:dyDescent="0.25">
      <c r="C173" s="92">
        <v>2</v>
      </c>
      <c r="D173" s="32">
        <v>171.06</v>
      </c>
      <c r="E173" s="90" t="s">
        <v>218</v>
      </c>
    </row>
    <row r="174" spans="3:5" x14ac:dyDescent="0.25">
      <c r="C174" s="92">
        <v>2</v>
      </c>
      <c r="D174" s="32">
        <v>171.07</v>
      </c>
      <c r="E174" s="90" t="s">
        <v>219</v>
      </c>
    </row>
    <row r="175" spans="3:5" x14ac:dyDescent="0.25">
      <c r="C175" s="92">
        <v>2</v>
      </c>
      <c r="D175" s="32">
        <v>171.08</v>
      </c>
      <c r="E175" s="90" t="s">
        <v>220</v>
      </c>
    </row>
    <row r="176" spans="3:5" x14ac:dyDescent="0.25">
      <c r="C176" s="92">
        <v>2</v>
      </c>
      <c r="D176" s="32">
        <v>171.09</v>
      </c>
      <c r="E176" s="90" t="s">
        <v>221</v>
      </c>
    </row>
    <row r="177" spans="3:5" x14ac:dyDescent="0.25">
      <c r="C177" s="92">
        <v>2</v>
      </c>
      <c r="D177" s="32">
        <v>171.1</v>
      </c>
      <c r="E177" s="90" t="s">
        <v>222</v>
      </c>
    </row>
    <row r="178" spans="3:5" x14ac:dyDescent="0.25">
      <c r="C178" s="92">
        <v>2</v>
      </c>
      <c r="D178" s="32">
        <v>171.11</v>
      </c>
      <c r="E178" s="90" t="s">
        <v>223</v>
      </c>
    </row>
    <row r="179" spans="3:5" x14ac:dyDescent="0.25">
      <c r="C179" s="92">
        <v>2</v>
      </c>
      <c r="D179" s="32">
        <v>171.12</v>
      </c>
      <c r="E179" s="90" t="s">
        <v>224</v>
      </c>
    </row>
    <row r="180" spans="3:5" x14ac:dyDescent="0.25">
      <c r="C180" s="92">
        <v>2</v>
      </c>
      <c r="D180" s="32">
        <v>171.13</v>
      </c>
      <c r="E180" s="90" t="s">
        <v>225</v>
      </c>
    </row>
    <row r="181" spans="3:5" x14ac:dyDescent="0.25">
      <c r="C181" s="92">
        <v>2</v>
      </c>
      <c r="D181" s="32">
        <v>171.14</v>
      </c>
      <c r="E181" s="90" t="s">
        <v>226</v>
      </c>
    </row>
    <row r="182" spans="3:5" ht="30" x14ac:dyDescent="0.25">
      <c r="C182" s="92">
        <v>2</v>
      </c>
      <c r="D182" s="32">
        <v>171.15</v>
      </c>
      <c r="E182" s="90" t="s">
        <v>227</v>
      </c>
    </row>
    <row r="183" spans="3:5" ht="30" x14ac:dyDescent="0.25">
      <c r="C183" s="92">
        <v>2</v>
      </c>
      <c r="D183" s="32">
        <v>171.16</v>
      </c>
      <c r="E183" s="98" t="s">
        <v>228</v>
      </c>
    </row>
    <row r="184" spans="3:5" x14ac:dyDescent="0.25">
      <c r="C184" s="92">
        <v>2</v>
      </c>
      <c r="D184" s="32">
        <v>171.17</v>
      </c>
      <c r="E184" s="90" t="s">
        <v>229</v>
      </c>
    </row>
    <row r="185" spans="3:5" x14ac:dyDescent="0.25">
      <c r="C185" s="92">
        <v>2</v>
      </c>
      <c r="D185" s="32">
        <v>171.18</v>
      </c>
      <c r="E185" s="90" t="s">
        <v>230</v>
      </c>
    </row>
    <row r="186" spans="3:5" x14ac:dyDescent="0.25">
      <c r="C186" s="91">
        <v>1</v>
      </c>
      <c r="D186" s="32">
        <v>172</v>
      </c>
      <c r="E186" s="97" t="s">
        <v>231</v>
      </c>
    </row>
    <row r="187" spans="3:5" x14ac:dyDescent="0.25">
      <c r="C187" s="92">
        <v>2</v>
      </c>
      <c r="D187" s="32">
        <v>172.01</v>
      </c>
      <c r="E187" s="90" t="s">
        <v>232</v>
      </c>
    </row>
    <row r="188" spans="3:5" x14ac:dyDescent="0.25">
      <c r="C188" s="92">
        <v>2</v>
      </c>
      <c r="D188" s="32">
        <v>172.02</v>
      </c>
      <c r="E188" s="90" t="s">
        <v>233</v>
      </c>
    </row>
    <row r="189" spans="3:5" ht="30" x14ac:dyDescent="0.25">
      <c r="C189" s="92">
        <v>2</v>
      </c>
      <c r="D189" s="32">
        <v>172.03</v>
      </c>
      <c r="E189" s="98" t="s">
        <v>234</v>
      </c>
    </row>
    <row r="190" spans="3:5" x14ac:dyDescent="0.25">
      <c r="C190" s="92">
        <v>2</v>
      </c>
      <c r="D190" s="32">
        <v>172.04</v>
      </c>
      <c r="E190" s="90" t="s">
        <v>235</v>
      </c>
    </row>
    <row r="191" spans="3:5" x14ac:dyDescent="0.25">
      <c r="C191" s="92">
        <v>2</v>
      </c>
      <c r="D191" s="32">
        <v>172.05</v>
      </c>
      <c r="E191" s="90" t="s">
        <v>236</v>
      </c>
    </row>
    <row r="192" spans="3:5" x14ac:dyDescent="0.25">
      <c r="C192" s="92">
        <v>2</v>
      </c>
      <c r="D192" s="32">
        <v>172.06</v>
      </c>
      <c r="E192" s="90" t="s">
        <v>237</v>
      </c>
    </row>
    <row r="193" spans="3:5" x14ac:dyDescent="0.25">
      <c r="C193" s="92">
        <v>2</v>
      </c>
      <c r="D193" s="32">
        <v>172.07</v>
      </c>
      <c r="E193" s="90" t="s">
        <v>238</v>
      </c>
    </row>
    <row r="194" spans="3:5" x14ac:dyDescent="0.25">
      <c r="C194" s="92">
        <v>2</v>
      </c>
      <c r="D194" s="32">
        <v>172.08</v>
      </c>
      <c r="E194" s="90" t="s">
        <v>239</v>
      </c>
    </row>
    <row r="195" spans="3:5" x14ac:dyDescent="0.25">
      <c r="C195" s="92">
        <v>2</v>
      </c>
      <c r="D195" s="32">
        <v>172.09</v>
      </c>
      <c r="E195" s="90" t="s">
        <v>240</v>
      </c>
    </row>
    <row r="196" spans="3:5" x14ac:dyDescent="0.25">
      <c r="C196" s="92">
        <v>2</v>
      </c>
      <c r="D196" s="32">
        <v>172.1</v>
      </c>
      <c r="E196" s="90" t="s">
        <v>241</v>
      </c>
    </row>
    <row r="197" spans="3:5" x14ac:dyDescent="0.25">
      <c r="C197" s="92">
        <v>2</v>
      </c>
      <c r="D197" s="32">
        <v>172.11</v>
      </c>
      <c r="E197" s="90" t="s">
        <v>242</v>
      </c>
    </row>
    <row r="198" spans="3:5" x14ac:dyDescent="0.25">
      <c r="C198" s="92">
        <v>2</v>
      </c>
      <c r="D198" s="32">
        <v>172.12</v>
      </c>
      <c r="E198" s="90" t="s">
        <v>243</v>
      </c>
    </row>
    <row r="199" spans="3:5" x14ac:dyDescent="0.25">
      <c r="C199" s="92">
        <v>2</v>
      </c>
      <c r="D199" s="32">
        <v>172.13</v>
      </c>
      <c r="E199" s="90" t="s">
        <v>244</v>
      </c>
    </row>
    <row r="200" spans="3:5" x14ac:dyDescent="0.25">
      <c r="C200" s="92">
        <v>2</v>
      </c>
      <c r="D200" s="32">
        <v>172.14</v>
      </c>
      <c r="E200" s="90" t="s">
        <v>245</v>
      </c>
    </row>
    <row r="201" spans="3:5" ht="30" x14ac:dyDescent="0.25">
      <c r="C201" s="92">
        <v>2</v>
      </c>
      <c r="D201" s="32">
        <v>172.15</v>
      </c>
      <c r="E201" s="98" t="s">
        <v>246</v>
      </c>
    </row>
    <row r="202" spans="3:5" ht="30" x14ac:dyDescent="0.25">
      <c r="C202" s="92">
        <v>2</v>
      </c>
      <c r="D202" s="32">
        <v>172.16</v>
      </c>
      <c r="E202" s="98" t="s">
        <v>247</v>
      </c>
    </row>
    <row r="203" spans="3:5" x14ac:dyDescent="0.25">
      <c r="C203" s="92">
        <v>2</v>
      </c>
      <c r="D203" s="32">
        <v>172.17</v>
      </c>
      <c r="E203" s="90" t="s">
        <v>248</v>
      </c>
    </row>
    <row r="204" spans="3:5" x14ac:dyDescent="0.25">
      <c r="C204" s="92">
        <v>2</v>
      </c>
      <c r="D204" s="32">
        <v>172.18</v>
      </c>
      <c r="E204" s="90" t="s">
        <v>249</v>
      </c>
    </row>
    <row r="205" spans="3:5" x14ac:dyDescent="0.25">
      <c r="C205" s="91">
        <v>1</v>
      </c>
      <c r="D205" s="32">
        <v>173</v>
      </c>
      <c r="E205" s="97" t="s">
        <v>250</v>
      </c>
    </row>
    <row r="206" spans="3:5" x14ac:dyDescent="0.25">
      <c r="C206" s="92">
        <v>2</v>
      </c>
      <c r="D206" s="32">
        <v>173.01</v>
      </c>
      <c r="E206" s="90" t="s">
        <v>250</v>
      </c>
    </row>
    <row r="207" spans="3:5" x14ac:dyDescent="0.25">
      <c r="C207" s="91">
        <v>1</v>
      </c>
      <c r="D207" s="32">
        <v>174</v>
      </c>
      <c r="E207" s="97" t="s">
        <v>251</v>
      </c>
    </row>
    <row r="208" spans="3:5" x14ac:dyDescent="0.25">
      <c r="C208" s="92">
        <v>2</v>
      </c>
      <c r="D208" s="32">
        <v>174.01</v>
      </c>
      <c r="E208" s="90" t="s">
        <v>251</v>
      </c>
    </row>
    <row r="209" spans="3:5" x14ac:dyDescent="0.25">
      <c r="C209" s="91">
        <v>1</v>
      </c>
      <c r="D209" s="32">
        <v>175</v>
      </c>
      <c r="E209" s="97" t="s">
        <v>252</v>
      </c>
    </row>
    <row r="210" spans="3:5" x14ac:dyDescent="0.25">
      <c r="C210" s="92">
        <v>2</v>
      </c>
      <c r="D210" s="32">
        <v>175.01</v>
      </c>
      <c r="E210" s="90" t="s">
        <v>252</v>
      </c>
    </row>
    <row r="211" spans="3:5" x14ac:dyDescent="0.25">
      <c r="C211" s="91">
        <v>1</v>
      </c>
      <c r="D211" s="32">
        <v>176</v>
      </c>
      <c r="E211" s="97" t="s">
        <v>253</v>
      </c>
    </row>
    <row r="212" spans="3:5" x14ac:dyDescent="0.25">
      <c r="C212" s="92">
        <v>2</v>
      </c>
      <c r="D212" s="32">
        <v>176.01</v>
      </c>
      <c r="E212" s="90" t="s">
        <v>253</v>
      </c>
    </row>
    <row r="213" spans="3:5" x14ac:dyDescent="0.25">
      <c r="C213" s="91">
        <v>1</v>
      </c>
      <c r="D213" s="32">
        <v>177</v>
      </c>
      <c r="E213" s="97" t="s">
        <v>254</v>
      </c>
    </row>
    <row r="214" spans="3:5" x14ac:dyDescent="0.25">
      <c r="C214" s="92">
        <v>2</v>
      </c>
      <c r="D214" s="32">
        <v>177.01</v>
      </c>
      <c r="E214" s="90" t="s">
        <v>254</v>
      </c>
    </row>
    <row r="215" spans="3:5" x14ac:dyDescent="0.25">
      <c r="C215" s="91">
        <v>1</v>
      </c>
      <c r="D215" s="32">
        <v>178</v>
      </c>
      <c r="E215" s="97" t="s">
        <v>255</v>
      </c>
    </row>
    <row r="216" spans="3:5" x14ac:dyDescent="0.25">
      <c r="C216" s="92">
        <v>2</v>
      </c>
      <c r="D216" s="32">
        <v>178.01</v>
      </c>
      <c r="E216" s="90" t="s">
        <v>255</v>
      </c>
    </row>
    <row r="217" spans="3:5" x14ac:dyDescent="0.25">
      <c r="C217" s="91">
        <v>1</v>
      </c>
      <c r="D217" s="32">
        <v>179</v>
      </c>
      <c r="E217" s="97" t="s">
        <v>256</v>
      </c>
    </row>
    <row r="218" spans="3:5" x14ac:dyDescent="0.25">
      <c r="C218" s="92">
        <v>2</v>
      </c>
      <c r="D218" s="32">
        <v>179.01</v>
      </c>
      <c r="E218" s="90" t="s">
        <v>256</v>
      </c>
    </row>
    <row r="219" spans="3:5" x14ac:dyDescent="0.25">
      <c r="C219" s="91">
        <v>1</v>
      </c>
      <c r="D219" s="32">
        <v>180</v>
      </c>
      <c r="E219" s="97" t="s">
        <v>257</v>
      </c>
    </row>
    <row r="220" spans="3:5" x14ac:dyDescent="0.25">
      <c r="C220" s="92">
        <v>2</v>
      </c>
      <c r="D220" s="32">
        <v>180.01</v>
      </c>
      <c r="E220" s="90" t="s">
        <v>257</v>
      </c>
    </row>
    <row r="221" spans="3:5" x14ac:dyDescent="0.25">
      <c r="C221" s="91">
        <v>1</v>
      </c>
      <c r="D221" s="32">
        <v>181</v>
      </c>
      <c r="E221" s="97" t="s">
        <v>258</v>
      </c>
    </row>
    <row r="222" spans="3:5" x14ac:dyDescent="0.25">
      <c r="C222" s="92">
        <v>2</v>
      </c>
      <c r="D222" s="32">
        <v>181.01</v>
      </c>
      <c r="E222" s="90" t="s">
        <v>258</v>
      </c>
    </row>
    <row r="223" spans="3:5" x14ac:dyDescent="0.25">
      <c r="C223" s="91">
        <v>1</v>
      </c>
      <c r="D223" s="32">
        <v>182</v>
      </c>
      <c r="E223" s="97" t="s">
        <v>259</v>
      </c>
    </row>
    <row r="224" spans="3:5" x14ac:dyDescent="0.25">
      <c r="C224" s="92">
        <v>2</v>
      </c>
      <c r="D224" s="32">
        <v>182.01</v>
      </c>
      <c r="E224" s="90" t="s">
        <v>259</v>
      </c>
    </row>
    <row r="225" spans="3:5" x14ac:dyDescent="0.25">
      <c r="C225" s="91">
        <v>1</v>
      </c>
      <c r="D225" s="32">
        <v>183</v>
      </c>
      <c r="E225" s="97" t="s">
        <v>260</v>
      </c>
    </row>
    <row r="226" spans="3:5" x14ac:dyDescent="0.25">
      <c r="C226" s="92">
        <v>2</v>
      </c>
      <c r="D226" s="32">
        <v>183.01</v>
      </c>
      <c r="E226" s="90" t="s">
        <v>261</v>
      </c>
    </row>
    <row r="227" spans="3:5" x14ac:dyDescent="0.25">
      <c r="C227" s="92">
        <v>2</v>
      </c>
      <c r="D227" s="32">
        <v>183.02</v>
      </c>
      <c r="E227" s="90" t="s">
        <v>262</v>
      </c>
    </row>
    <row r="228" spans="3:5" x14ac:dyDescent="0.25">
      <c r="C228" s="92">
        <v>2</v>
      </c>
      <c r="D228" s="32">
        <v>183.03</v>
      </c>
      <c r="E228" s="90" t="s">
        <v>263</v>
      </c>
    </row>
    <row r="229" spans="3:5" x14ac:dyDescent="0.25">
      <c r="C229" s="92">
        <v>2</v>
      </c>
      <c r="D229" s="32">
        <v>183.04</v>
      </c>
      <c r="E229" s="90" t="s">
        <v>264</v>
      </c>
    </row>
    <row r="230" spans="3:5" x14ac:dyDescent="0.25">
      <c r="C230" s="92">
        <v>2</v>
      </c>
      <c r="D230" s="32">
        <v>183.05</v>
      </c>
      <c r="E230" s="90" t="s">
        <v>265</v>
      </c>
    </row>
    <row r="231" spans="3:5" x14ac:dyDescent="0.25">
      <c r="C231" s="92">
        <v>2</v>
      </c>
      <c r="D231" s="32">
        <v>183.06</v>
      </c>
      <c r="E231" s="90" t="s">
        <v>266</v>
      </c>
    </row>
    <row r="232" spans="3:5" x14ac:dyDescent="0.25">
      <c r="C232" s="92">
        <v>2</v>
      </c>
      <c r="D232" s="32">
        <v>183.07</v>
      </c>
      <c r="E232" s="90" t="s">
        <v>267</v>
      </c>
    </row>
    <row r="233" spans="3:5" x14ac:dyDescent="0.25">
      <c r="C233" s="92">
        <v>2</v>
      </c>
      <c r="D233" s="32">
        <v>183.08</v>
      </c>
      <c r="E233" s="90" t="s">
        <v>268</v>
      </c>
    </row>
    <row r="234" spans="3:5" x14ac:dyDescent="0.25">
      <c r="C234" s="92">
        <v>2</v>
      </c>
      <c r="D234" s="32">
        <v>183.09</v>
      </c>
      <c r="E234" s="90" t="s">
        <v>269</v>
      </c>
    </row>
    <row r="235" spans="3:5" x14ac:dyDescent="0.25">
      <c r="C235" s="92">
        <v>2</v>
      </c>
      <c r="D235" s="32">
        <v>183.1</v>
      </c>
      <c r="E235" s="90" t="s">
        <v>270</v>
      </c>
    </row>
    <row r="236" spans="3:5" x14ac:dyDescent="0.25">
      <c r="C236" s="91">
        <v>1</v>
      </c>
      <c r="D236" s="32">
        <v>184</v>
      </c>
      <c r="E236" s="97" t="s">
        <v>271</v>
      </c>
    </row>
    <row r="237" spans="3:5" x14ac:dyDescent="0.25">
      <c r="C237" s="92">
        <v>2</v>
      </c>
      <c r="D237" s="32">
        <v>184.01</v>
      </c>
      <c r="E237" s="90" t="s">
        <v>272</v>
      </c>
    </row>
    <row r="238" spans="3:5" x14ac:dyDescent="0.25">
      <c r="C238" s="92">
        <v>2</v>
      </c>
      <c r="D238" s="32">
        <v>184.02</v>
      </c>
      <c r="E238" s="90" t="s">
        <v>273</v>
      </c>
    </row>
    <row r="239" spans="3:5" x14ac:dyDescent="0.25">
      <c r="C239" s="92">
        <v>2</v>
      </c>
      <c r="D239" s="32">
        <v>184.03</v>
      </c>
      <c r="E239" s="90" t="s">
        <v>274</v>
      </c>
    </row>
    <row r="240" spans="3:5" x14ac:dyDescent="0.25">
      <c r="C240" s="91">
        <v>1</v>
      </c>
      <c r="D240" s="32">
        <v>185</v>
      </c>
      <c r="E240" s="97" t="s">
        <v>275</v>
      </c>
    </row>
    <row r="241" spans="3:5" x14ac:dyDescent="0.25">
      <c r="C241" s="92">
        <v>2</v>
      </c>
      <c r="D241" s="32">
        <v>185.01</v>
      </c>
      <c r="E241" s="90" t="s">
        <v>276</v>
      </c>
    </row>
    <row r="242" spans="3:5" x14ac:dyDescent="0.25">
      <c r="C242" s="91">
        <v>1</v>
      </c>
      <c r="D242" s="32">
        <v>186</v>
      </c>
      <c r="E242" s="97" t="s">
        <v>277</v>
      </c>
    </row>
    <row r="243" spans="3:5" x14ac:dyDescent="0.25">
      <c r="C243" s="92">
        <v>2</v>
      </c>
      <c r="D243" s="32">
        <v>186.01</v>
      </c>
      <c r="E243" s="90" t="s">
        <v>278</v>
      </c>
    </row>
    <row r="244" spans="3:5" x14ac:dyDescent="0.25">
      <c r="C244" s="92">
        <v>2</v>
      </c>
      <c r="D244" s="32">
        <v>186.02</v>
      </c>
      <c r="E244" s="90" t="s">
        <v>279</v>
      </c>
    </row>
    <row r="245" spans="3:5" x14ac:dyDescent="0.25">
      <c r="C245" s="92">
        <v>2</v>
      </c>
      <c r="D245" s="32">
        <v>186.03</v>
      </c>
      <c r="E245" s="90" t="s">
        <v>280</v>
      </c>
    </row>
    <row r="246" spans="3:5" x14ac:dyDescent="0.25">
      <c r="C246" s="92">
        <v>2</v>
      </c>
      <c r="D246" s="32">
        <v>186.04</v>
      </c>
      <c r="E246" s="90" t="s">
        <v>281</v>
      </c>
    </row>
    <row r="247" spans="3:5" x14ac:dyDescent="0.25">
      <c r="C247" s="92">
        <v>2</v>
      </c>
      <c r="D247" s="32">
        <v>186.05</v>
      </c>
      <c r="E247" s="90" t="s">
        <v>282</v>
      </c>
    </row>
    <row r="248" spans="3:5" x14ac:dyDescent="0.25">
      <c r="C248" s="92">
        <v>2</v>
      </c>
      <c r="D248" s="32">
        <v>186.06</v>
      </c>
      <c r="E248" s="90" t="s">
        <v>283</v>
      </c>
    </row>
    <row r="249" spans="3:5" x14ac:dyDescent="0.25">
      <c r="C249" s="92">
        <v>2</v>
      </c>
      <c r="D249" s="32">
        <v>186.07</v>
      </c>
      <c r="E249" s="90" t="s">
        <v>284</v>
      </c>
    </row>
    <row r="250" spans="3:5" x14ac:dyDescent="0.25">
      <c r="C250" s="92">
        <v>2</v>
      </c>
      <c r="D250" s="32">
        <v>186.08</v>
      </c>
      <c r="E250" s="90" t="s">
        <v>285</v>
      </c>
    </row>
    <row r="251" spans="3:5" x14ac:dyDescent="0.25">
      <c r="C251" s="92">
        <v>2</v>
      </c>
      <c r="D251" s="32">
        <v>186.09</v>
      </c>
      <c r="E251" s="90" t="s">
        <v>286</v>
      </c>
    </row>
    <row r="252" spans="3:5" x14ac:dyDescent="0.25">
      <c r="C252" s="92">
        <v>2</v>
      </c>
      <c r="D252" s="32">
        <v>186.1</v>
      </c>
      <c r="E252" s="90" t="s">
        <v>287</v>
      </c>
    </row>
    <row r="253" spans="3:5" x14ac:dyDescent="0.25">
      <c r="C253" s="91">
        <v>1</v>
      </c>
      <c r="D253" s="32">
        <v>187</v>
      </c>
      <c r="E253" s="97" t="s">
        <v>288</v>
      </c>
    </row>
    <row r="254" spans="3:5" x14ac:dyDescent="0.25">
      <c r="C254" s="92">
        <v>2</v>
      </c>
      <c r="D254" s="32">
        <v>187.01</v>
      </c>
      <c r="E254" s="90" t="s">
        <v>288</v>
      </c>
    </row>
    <row r="255" spans="3:5" x14ac:dyDescent="0.25">
      <c r="C255" s="91">
        <v>1</v>
      </c>
      <c r="D255" s="32">
        <v>188</v>
      </c>
      <c r="E255" s="97" t="s">
        <v>289</v>
      </c>
    </row>
    <row r="256" spans="3:5" x14ac:dyDescent="0.25">
      <c r="C256" s="92">
        <v>2</v>
      </c>
      <c r="D256" s="32">
        <v>188.01</v>
      </c>
      <c r="E256" s="90" t="s">
        <v>290</v>
      </c>
    </row>
    <row r="257" spans="3:5" x14ac:dyDescent="0.25">
      <c r="C257" s="92">
        <v>2</v>
      </c>
      <c r="D257" s="32">
        <v>188.02</v>
      </c>
      <c r="E257" s="90" t="s">
        <v>291</v>
      </c>
    </row>
    <row r="258" spans="3:5" x14ac:dyDescent="0.25">
      <c r="C258" s="92">
        <v>2</v>
      </c>
      <c r="D258" s="32">
        <v>188.03</v>
      </c>
      <c r="E258" s="90" t="s">
        <v>292</v>
      </c>
    </row>
    <row r="259" spans="3:5" x14ac:dyDescent="0.25">
      <c r="C259" s="91">
        <v>1</v>
      </c>
      <c r="D259" s="32">
        <v>189</v>
      </c>
      <c r="E259" s="97" t="s">
        <v>293</v>
      </c>
    </row>
    <row r="260" spans="3:5" x14ac:dyDescent="0.25">
      <c r="C260" s="92">
        <v>2</v>
      </c>
      <c r="D260" s="32">
        <v>189.01</v>
      </c>
      <c r="E260" s="90" t="s">
        <v>293</v>
      </c>
    </row>
    <row r="261" spans="3:5" x14ac:dyDescent="0.25">
      <c r="C261" s="91">
        <v>1</v>
      </c>
      <c r="D261" s="32">
        <v>190</v>
      </c>
      <c r="E261" s="97" t="s">
        <v>101</v>
      </c>
    </row>
    <row r="262" spans="3:5" x14ac:dyDescent="0.25">
      <c r="C262" s="92">
        <v>2</v>
      </c>
      <c r="D262" s="32">
        <v>190.01</v>
      </c>
      <c r="E262" s="90" t="s">
        <v>101</v>
      </c>
    </row>
    <row r="263" spans="3:5" x14ac:dyDescent="0.25">
      <c r="C263" s="91">
        <v>1</v>
      </c>
      <c r="D263" s="32">
        <v>191</v>
      </c>
      <c r="E263" s="97" t="s">
        <v>294</v>
      </c>
    </row>
    <row r="264" spans="3:5" x14ac:dyDescent="0.25">
      <c r="C264" s="92">
        <v>2</v>
      </c>
      <c r="D264" s="32">
        <v>191.01</v>
      </c>
      <c r="E264" s="90" t="s">
        <v>294</v>
      </c>
    </row>
    <row r="265" spans="3:5" x14ac:dyDescent="0.25">
      <c r="C265" s="89"/>
      <c r="D265" s="32">
        <v>200</v>
      </c>
      <c r="E265" s="97" t="s">
        <v>295</v>
      </c>
    </row>
    <row r="266" spans="3:5" x14ac:dyDescent="0.25">
      <c r="C266" s="89"/>
      <c r="D266" s="32">
        <v>200.01</v>
      </c>
      <c r="E266" s="97" t="s">
        <v>296</v>
      </c>
    </row>
    <row r="267" spans="3:5" x14ac:dyDescent="0.25">
      <c r="C267" s="91">
        <v>1</v>
      </c>
      <c r="D267" s="32">
        <v>201</v>
      </c>
      <c r="E267" s="97" t="s">
        <v>297</v>
      </c>
    </row>
    <row r="268" spans="3:5" x14ac:dyDescent="0.25">
      <c r="C268" s="92">
        <v>2</v>
      </c>
      <c r="D268" s="32">
        <v>201.01</v>
      </c>
      <c r="E268" s="90" t="s">
        <v>298</v>
      </c>
    </row>
    <row r="269" spans="3:5" x14ac:dyDescent="0.25">
      <c r="C269" s="92">
        <v>2</v>
      </c>
      <c r="D269" s="32">
        <v>201.02</v>
      </c>
      <c r="E269" s="90" t="s">
        <v>299</v>
      </c>
    </row>
    <row r="270" spans="3:5" x14ac:dyDescent="0.25">
      <c r="C270" s="92">
        <v>2</v>
      </c>
      <c r="D270" s="32">
        <v>201.03</v>
      </c>
      <c r="E270" s="90" t="s">
        <v>300</v>
      </c>
    </row>
    <row r="271" spans="3:5" x14ac:dyDescent="0.25">
      <c r="C271" s="92">
        <v>2</v>
      </c>
      <c r="D271" s="32">
        <v>201.04</v>
      </c>
      <c r="E271" s="90" t="s">
        <v>301</v>
      </c>
    </row>
    <row r="272" spans="3:5" x14ac:dyDescent="0.25">
      <c r="C272" s="91">
        <v>1</v>
      </c>
      <c r="D272" s="32">
        <v>202</v>
      </c>
      <c r="E272" s="97" t="s">
        <v>302</v>
      </c>
    </row>
    <row r="273" spans="3:5" x14ac:dyDescent="0.25">
      <c r="C273" s="92">
        <v>2</v>
      </c>
      <c r="D273" s="32">
        <v>202.01</v>
      </c>
      <c r="E273" s="90" t="s">
        <v>303</v>
      </c>
    </row>
    <row r="274" spans="3:5" x14ac:dyDescent="0.25">
      <c r="C274" s="92">
        <v>2</v>
      </c>
      <c r="D274" s="32">
        <v>202.02</v>
      </c>
      <c r="E274" s="90" t="s">
        <v>304</v>
      </c>
    </row>
    <row r="275" spans="3:5" x14ac:dyDescent="0.25">
      <c r="C275" s="92">
        <v>2</v>
      </c>
      <c r="D275" s="32">
        <v>202.03</v>
      </c>
      <c r="E275" s="90" t="s">
        <v>305</v>
      </c>
    </row>
    <row r="276" spans="3:5" x14ac:dyDescent="0.25">
      <c r="C276" s="92">
        <v>2</v>
      </c>
      <c r="D276" s="32">
        <v>202.04</v>
      </c>
      <c r="E276" s="90" t="s">
        <v>306</v>
      </c>
    </row>
    <row r="277" spans="3:5" x14ac:dyDescent="0.25">
      <c r="C277" s="92">
        <v>2</v>
      </c>
      <c r="D277" s="32">
        <v>202.05</v>
      </c>
      <c r="E277" s="90" t="s">
        <v>307</v>
      </c>
    </row>
    <row r="278" spans="3:5" x14ac:dyDescent="0.25">
      <c r="C278" s="92">
        <v>2</v>
      </c>
      <c r="D278" s="32">
        <v>202.06</v>
      </c>
      <c r="E278" s="90" t="s">
        <v>308</v>
      </c>
    </row>
    <row r="279" spans="3:5" x14ac:dyDescent="0.25">
      <c r="C279" s="92">
        <v>2</v>
      </c>
      <c r="D279" s="32">
        <v>202.07</v>
      </c>
      <c r="E279" s="90" t="s">
        <v>309</v>
      </c>
    </row>
    <row r="280" spans="3:5" x14ac:dyDescent="0.25">
      <c r="C280" s="92">
        <v>2</v>
      </c>
      <c r="D280" s="32">
        <v>202.08</v>
      </c>
      <c r="E280" s="90" t="s">
        <v>310</v>
      </c>
    </row>
    <row r="281" spans="3:5" x14ac:dyDescent="0.25">
      <c r="C281" s="92">
        <v>2</v>
      </c>
      <c r="D281" s="32">
        <v>202.09</v>
      </c>
      <c r="E281" s="90" t="s">
        <v>311</v>
      </c>
    </row>
    <row r="282" spans="3:5" x14ac:dyDescent="0.25">
      <c r="C282" s="92">
        <v>2</v>
      </c>
      <c r="D282" s="32">
        <v>202.1</v>
      </c>
      <c r="E282" s="90" t="s">
        <v>312</v>
      </c>
    </row>
    <row r="283" spans="3:5" x14ac:dyDescent="0.25">
      <c r="C283" s="92">
        <v>2</v>
      </c>
      <c r="D283" s="32">
        <v>202.11</v>
      </c>
      <c r="E283" s="90" t="s">
        <v>313</v>
      </c>
    </row>
    <row r="284" spans="3:5" x14ac:dyDescent="0.25">
      <c r="C284" s="92">
        <v>2</v>
      </c>
      <c r="D284" s="32">
        <v>202.12</v>
      </c>
      <c r="E284" s="90" t="s">
        <v>314</v>
      </c>
    </row>
    <row r="285" spans="3:5" x14ac:dyDescent="0.25">
      <c r="C285" s="91">
        <v>1</v>
      </c>
      <c r="D285" s="32">
        <v>203</v>
      </c>
      <c r="E285" s="97" t="s">
        <v>315</v>
      </c>
    </row>
    <row r="286" spans="3:5" x14ac:dyDescent="0.25">
      <c r="C286" s="92">
        <v>2</v>
      </c>
      <c r="D286" s="32">
        <v>203.01</v>
      </c>
      <c r="E286" s="90" t="s">
        <v>316</v>
      </c>
    </row>
    <row r="287" spans="3:5" x14ac:dyDescent="0.25">
      <c r="C287" s="92">
        <v>2</v>
      </c>
      <c r="D287" s="32">
        <v>203.02</v>
      </c>
      <c r="E287" s="90" t="s">
        <v>317</v>
      </c>
    </row>
    <row r="288" spans="3:5" x14ac:dyDescent="0.25">
      <c r="C288" s="92">
        <v>2</v>
      </c>
      <c r="D288" s="32">
        <v>203.03</v>
      </c>
      <c r="E288" s="90" t="s">
        <v>318</v>
      </c>
    </row>
    <row r="289" spans="3:9" x14ac:dyDescent="0.25">
      <c r="C289" s="92">
        <v>2</v>
      </c>
      <c r="D289" s="32">
        <v>203.04</v>
      </c>
      <c r="E289" s="90" t="s">
        <v>319</v>
      </c>
      <c r="F289" s="72"/>
      <c r="G289" s="72"/>
      <c r="H289" s="72"/>
      <c r="I289" s="72"/>
    </row>
    <row r="290" spans="3:9" x14ac:dyDescent="0.25">
      <c r="C290" s="92">
        <v>2</v>
      </c>
      <c r="D290" s="32">
        <v>203.05</v>
      </c>
      <c r="E290" s="90" t="s">
        <v>320</v>
      </c>
      <c r="F290" s="72"/>
      <c r="G290" s="72"/>
      <c r="H290" s="72"/>
      <c r="I290" s="72"/>
    </row>
    <row r="291" spans="3:9" x14ac:dyDescent="0.25">
      <c r="C291" s="92">
        <v>2</v>
      </c>
      <c r="D291" s="32">
        <v>203.06</v>
      </c>
      <c r="E291" s="90" t="s">
        <v>321</v>
      </c>
      <c r="F291" s="72"/>
      <c r="G291" s="72"/>
      <c r="H291" s="72"/>
      <c r="I291" s="72"/>
    </row>
    <row r="292" spans="3:9" x14ac:dyDescent="0.25">
      <c r="C292" s="92">
        <v>2</v>
      </c>
      <c r="D292" s="32">
        <v>203.07</v>
      </c>
      <c r="E292" s="90" t="s">
        <v>322</v>
      </c>
      <c r="F292" s="72"/>
      <c r="G292" s="72"/>
      <c r="H292" s="72"/>
      <c r="I292" s="72"/>
    </row>
    <row r="293" spans="3:9" x14ac:dyDescent="0.25">
      <c r="C293" s="92">
        <v>2</v>
      </c>
      <c r="D293" s="32">
        <v>203.08</v>
      </c>
      <c r="E293" s="90" t="s">
        <v>323</v>
      </c>
      <c r="F293" s="72"/>
      <c r="G293" s="72"/>
      <c r="H293" s="72"/>
      <c r="I293" s="72"/>
    </row>
    <row r="294" spans="3:9" x14ac:dyDescent="0.25">
      <c r="C294" s="92">
        <v>2</v>
      </c>
      <c r="D294" s="32">
        <v>203.09</v>
      </c>
      <c r="E294" s="90" t="s">
        <v>324</v>
      </c>
      <c r="F294" s="72"/>
      <c r="G294" s="72"/>
      <c r="H294" s="72"/>
      <c r="I294" s="72"/>
    </row>
    <row r="295" spans="3:9" x14ac:dyDescent="0.25">
      <c r="C295" s="92">
        <v>2</v>
      </c>
      <c r="D295" s="32">
        <v>203.1</v>
      </c>
      <c r="E295" s="90" t="s">
        <v>325</v>
      </c>
      <c r="F295" s="72"/>
      <c r="G295" s="72"/>
      <c r="H295" s="72"/>
      <c r="I295" s="72"/>
    </row>
    <row r="296" spans="3:9" x14ac:dyDescent="0.25">
      <c r="C296" s="92">
        <v>2</v>
      </c>
      <c r="D296" s="32">
        <v>203.11</v>
      </c>
      <c r="E296" s="90" t="s">
        <v>326</v>
      </c>
      <c r="F296" s="72"/>
      <c r="G296" s="72"/>
      <c r="H296" s="72"/>
      <c r="I296" s="72"/>
    </row>
    <row r="297" spans="3:9" x14ac:dyDescent="0.25">
      <c r="C297" s="92">
        <v>2</v>
      </c>
      <c r="D297" s="32">
        <v>203.12</v>
      </c>
      <c r="E297" s="90" t="s">
        <v>327</v>
      </c>
      <c r="F297" s="72"/>
      <c r="G297" s="72"/>
      <c r="H297" s="72"/>
      <c r="I297" s="72"/>
    </row>
    <row r="298" spans="3:9" x14ac:dyDescent="0.25">
      <c r="C298" s="92">
        <v>2</v>
      </c>
      <c r="D298" s="32">
        <v>203.13</v>
      </c>
      <c r="E298" s="90" t="s">
        <v>328</v>
      </c>
      <c r="F298" s="72"/>
      <c r="G298" s="72"/>
      <c r="H298" s="72"/>
      <c r="I298" s="72"/>
    </row>
    <row r="299" spans="3:9" x14ac:dyDescent="0.25">
      <c r="C299" s="92">
        <v>2</v>
      </c>
      <c r="D299" s="32">
        <v>203.14</v>
      </c>
      <c r="E299" s="90" t="s">
        <v>329</v>
      </c>
      <c r="F299" s="72"/>
      <c r="G299" s="72"/>
      <c r="H299" s="72"/>
      <c r="I299" s="72"/>
    </row>
    <row r="300" spans="3:9" x14ac:dyDescent="0.25">
      <c r="C300" s="92">
        <v>2</v>
      </c>
      <c r="D300" s="32">
        <v>203.15</v>
      </c>
      <c r="E300" s="90" t="s">
        <v>330</v>
      </c>
      <c r="F300" s="72"/>
      <c r="G300" s="72"/>
      <c r="H300" s="72"/>
      <c r="I300" s="72"/>
    </row>
    <row r="301" spans="3:9" x14ac:dyDescent="0.25">
      <c r="C301" s="92">
        <v>2</v>
      </c>
      <c r="D301" s="32">
        <v>203.16</v>
      </c>
      <c r="E301" s="90" t="s">
        <v>331</v>
      </c>
      <c r="F301" s="72"/>
      <c r="G301" s="72"/>
      <c r="H301" s="72"/>
      <c r="I301" s="72"/>
    </row>
    <row r="302" spans="3:9" x14ac:dyDescent="0.25">
      <c r="C302" s="92">
        <v>2</v>
      </c>
      <c r="D302" s="32">
        <v>203.17</v>
      </c>
      <c r="E302" s="90" t="s">
        <v>151</v>
      </c>
      <c r="F302" s="72"/>
      <c r="G302" s="72"/>
      <c r="H302" s="72"/>
      <c r="I302" s="72"/>
    </row>
    <row r="303" spans="3:9" x14ac:dyDescent="0.25">
      <c r="C303" s="92">
        <v>2</v>
      </c>
      <c r="D303" s="32">
        <v>203.18</v>
      </c>
      <c r="E303" s="90" t="s">
        <v>332</v>
      </c>
      <c r="F303" s="72"/>
      <c r="G303" s="72"/>
      <c r="H303" s="72"/>
      <c r="I303" s="72"/>
    </row>
    <row r="304" spans="3:9" x14ac:dyDescent="0.25">
      <c r="C304" s="91">
        <v>1</v>
      </c>
      <c r="D304" s="32">
        <v>204</v>
      </c>
      <c r="E304" s="97" t="s">
        <v>333</v>
      </c>
      <c r="F304" s="72"/>
      <c r="G304" s="72"/>
      <c r="H304" s="72"/>
      <c r="I304" s="72"/>
    </row>
    <row r="305" spans="3:9" x14ac:dyDescent="0.25">
      <c r="C305" s="92">
        <v>2</v>
      </c>
      <c r="D305" s="32">
        <v>204.01</v>
      </c>
      <c r="E305" s="90" t="s">
        <v>333</v>
      </c>
      <c r="F305" s="72"/>
      <c r="G305" s="72"/>
      <c r="H305" s="72"/>
      <c r="I305" s="72"/>
    </row>
    <row r="306" spans="3:9" x14ac:dyDescent="0.25">
      <c r="C306" s="91">
        <v>1</v>
      </c>
      <c r="D306" s="32">
        <v>205</v>
      </c>
      <c r="E306" s="97" t="s">
        <v>334</v>
      </c>
      <c r="I306" s="72"/>
    </row>
    <row r="307" spans="3:9" x14ac:dyDescent="0.25">
      <c r="C307" s="92">
        <v>2</v>
      </c>
      <c r="D307" s="32">
        <v>205.01</v>
      </c>
      <c r="E307" s="90" t="s">
        <v>335</v>
      </c>
    </row>
    <row r="308" spans="3:9" x14ac:dyDescent="0.25">
      <c r="C308" s="92">
        <v>2</v>
      </c>
      <c r="D308" s="32">
        <v>205.02</v>
      </c>
      <c r="E308" s="90" t="s">
        <v>336</v>
      </c>
    </row>
    <row r="309" spans="3:9" x14ac:dyDescent="0.25">
      <c r="C309" s="92">
        <v>2</v>
      </c>
      <c r="D309" s="32">
        <v>205.03</v>
      </c>
      <c r="E309" s="90" t="s">
        <v>337</v>
      </c>
    </row>
    <row r="310" spans="3:9" x14ac:dyDescent="0.25">
      <c r="C310" s="92">
        <v>2</v>
      </c>
      <c r="D310" s="32">
        <v>205.04</v>
      </c>
      <c r="E310" s="90" t="s">
        <v>338</v>
      </c>
    </row>
    <row r="311" spans="3:9" x14ac:dyDescent="0.25">
      <c r="C311" s="92">
        <v>2</v>
      </c>
      <c r="D311" s="32">
        <v>205.05</v>
      </c>
      <c r="E311" s="90" t="s">
        <v>339</v>
      </c>
    </row>
    <row r="312" spans="3:9" x14ac:dyDescent="0.25">
      <c r="C312" s="92">
        <v>2</v>
      </c>
      <c r="D312" s="32">
        <v>205.06</v>
      </c>
      <c r="E312" s="90" t="s">
        <v>340</v>
      </c>
    </row>
    <row r="313" spans="3:9" x14ac:dyDescent="0.25">
      <c r="C313" s="91">
        <v>1</v>
      </c>
      <c r="D313" s="32">
        <v>206</v>
      </c>
      <c r="E313" s="97" t="s">
        <v>341</v>
      </c>
    </row>
    <row r="314" spans="3:9" x14ac:dyDescent="0.25">
      <c r="C314" s="92">
        <v>2</v>
      </c>
      <c r="D314" s="32">
        <v>206.01</v>
      </c>
      <c r="E314" s="90" t="s">
        <v>342</v>
      </c>
    </row>
    <row r="315" spans="3:9" x14ac:dyDescent="0.25">
      <c r="C315" s="92">
        <v>2</v>
      </c>
      <c r="D315" s="32">
        <v>206.02</v>
      </c>
      <c r="E315" s="90" t="s">
        <v>343</v>
      </c>
    </row>
    <row r="316" spans="3:9" x14ac:dyDescent="0.25">
      <c r="C316" s="92">
        <v>2</v>
      </c>
      <c r="D316" s="32">
        <v>206.03</v>
      </c>
      <c r="E316" s="90" t="s">
        <v>344</v>
      </c>
    </row>
    <row r="317" spans="3:9" x14ac:dyDescent="0.25">
      <c r="C317" s="92">
        <v>2</v>
      </c>
      <c r="D317" s="32">
        <v>206.04</v>
      </c>
      <c r="E317" s="90" t="s">
        <v>345</v>
      </c>
    </row>
    <row r="318" spans="3:9" x14ac:dyDescent="0.25">
      <c r="C318" s="92">
        <v>2</v>
      </c>
      <c r="D318" s="32">
        <v>206.05</v>
      </c>
      <c r="E318" s="90" t="s">
        <v>346</v>
      </c>
    </row>
    <row r="319" spans="3:9" x14ac:dyDescent="0.25">
      <c r="C319" s="91">
        <v>1</v>
      </c>
      <c r="D319" s="32">
        <v>207</v>
      </c>
      <c r="E319" s="97" t="s">
        <v>347</v>
      </c>
    </row>
    <row r="320" spans="3:9" x14ac:dyDescent="0.25">
      <c r="C320" s="92">
        <v>2</v>
      </c>
      <c r="D320" s="32">
        <v>207.01</v>
      </c>
      <c r="E320" s="90" t="s">
        <v>348</v>
      </c>
    </row>
    <row r="321" spans="3:5" x14ac:dyDescent="0.25">
      <c r="C321" s="92">
        <v>2</v>
      </c>
      <c r="D321" s="32">
        <v>207.02</v>
      </c>
      <c r="E321" s="90" t="s">
        <v>349</v>
      </c>
    </row>
    <row r="322" spans="3:5" x14ac:dyDescent="0.25">
      <c r="C322" s="91">
        <v>1</v>
      </c>
      <c r="D322" s="32">
        <v>208</v>
      </c>
      <c r="E322" s="97" t="s">
        <v>350</v>
      </c>
    </row>
    <row r="323" spans="3:5" x14ac:dyDescent="0.25">
      <c r="C323" s="92">
        <v>2</v>
      </c>
      <c r="D323" s="32">
        <v>208.01</v>
      </c>
      <c r="E323" s="90" t="s">
        <v>351</v>
      </c>
    </row>
    <row r="324" spans="3:5" x14ac:dyDescent="0.25">
      <c r="C324" s="92">
        <v>2</v>
      </c>
      <c r="D324" s="32">
        <v>208.02</v>
      </c>
      <c r="E324" s="90" t="s">
        <v>352</v>
      </c>
    </row>
    <row r="325" spans="3:5" x14ac:dyDescent="0.25">
      <c r="C325" s="91">
        <v>1</v>
      </c>
      <c r="D325" s="32">
        <v>209</v>
      </c>
      <c r="E325" s="97" t="s">
        <v>353</v>
      </c>
    </row>
    <row r="326" spans="3:5" x14ac:dyDescent="0.25">
      <c r="C326" s="92">
        <v>2</v>
      </c>
      <c r="D326" s="32">
        <v>209.01</v>
      </c>
      <c r="E326" s="90" t="s">
        <v>354</v>
      </c>
    </row>
    <row r="327" spans="3:5" x14ac:dyDescent="0.25">
      <c r="C327" s="92">
        <v>2</v>
      </c>
      <c r="D327" s="32">
        <v>209.02</v>
      </c>
      <c r="E327" s="90" t="s">
        <v>355</v>
      </c>
    </row>
    <row r="328" spans="3:5" x14ac:dyDescent="0.25">
      <c r="C328" s="91">
        <v>1</v>
      </c>
      <c r="D328" s="32">
        <v>210</v>
      </c>
      <c r="E328" s="97" t="s">
        <v>356</v>
      </c>
    </row>
    <row r="329" spans="3:5" x14ac:dyDescent="0.25">
      <c r="C329" s="92">
        <v>2</v>
      </c>
      <c r="D329" s="32">
        <v>210.01</v>
      </c>
      <c r="E329" s="90" t="s">
        <v>356</v>
      </c>
    </row>
    <row r="330" spans="3:5" x14ac:dyDescent="0.25">
      <c r="C330" s="92">
        <v>2</v>
      </c>
      <c r="D330" s="32">
        <v>210.02</v>
      </c>
      <c r="E330" s="90" t="s">
        <v>357</v>
      </c>
    </row>
    <row r="331" spans="3:5" x14ac:dyDescent="0.25">
      <c r="C331" s="92">
        <v>2</v>
      </c>
      <c r="D331" s="32">
        <v>210.03</v>
      </c>
      <c r="E331" s="90" t="s">
        <v>358</v>
      </c>
    </row>
    <row r="332" spans="3:5" x14ac:dyDescent="0.25">
      <c r="C332" s="92">
        <v>2</v>
      </c>
      <c r="D332" s="32">
        <v>210.04</v>
      </c>
      <c r="E332" s="90" t="s">
        <v>359</v>
      </c>
    </row>
    <row r="333" spans="3:5" x14ac:dyDescent="0.25">
      <c r="C333" s="92">
        <v>2</v>
      </c>
      <c r="D333" s="32">
        <v>210.05</v>
      </c>
      <c r="E333" s="90" t="s">
        <v>360</v>
      </c>
    </row>
    <row r="334" spans="3:5" x14ac:dyDescent="0.25">
      <c r="C334" s="92">
        <v>2</v>
      </c>
      <c r="D334" s="32">
        <v>210.06</v>
      </c>
      <c r="E334" s="90" t="s">
        <v>361</v>
      </c>
    </row>
    <row r="335" spans="3:5" x14ac:dyDescent="0.25">
      <c r="C335" s="92">
        <v>2</v>
      </c>
      <c r="D335" s="32">
        <v>210.07</v>
      </c>
      <c r="E335" s="90" t="s">
        <v>362</v>
      </c>
    </row>
    <row r="336" spans="3:5" x14ac:dyDescent="0.25">
      <c r="C336" s="91">
        <v>1</v>
      </c>
      <c r="D336" s="32">
        <v>211</v>
      </c>
      <c r="E336" s="97" t="s">
        <v>363</v>
      </c>
    </row>
    <row r="337" spans="3:5" x14ac:dyDescent="0.25">
      <c r="C337" s="92">
        <v>2</v>
      </c>
      <c r="D337" s="32">
        <v>211.01</v>
      </c>
      <c r="E337" s="90" t="s">
        <v>364</v>
      </c>
    </row>
    <row r="338" spans="3:5" x14ac:dyDescent="0.25">
      <c r="C338" s="92">
        <v>2</v>
      </c>
      <c r="D338" s="32">
        <v>211.02</v>
      </c>
      <c r="E338" s="90" t="s">
        <v>365</v>
      </c>
    </row>
    <row r="339" spans="3:5" x14ac:dyDescent="0.25">
      <c r="C339" s="92">
        <v>2</v>
      </c>
      <c r="D339" s="32">
        <v>211.03</v>
      </c>
      <c r="E339" s="90" t="s">
        <v>366</v>
      </c>
    </row>
    <row r="340" spans="3:5" x14ac:dyDescent="0.25">
      <c r="C340" s="91">
        <v>1</v>
      </c>
      <c r="D340" s="32">
        <v>212</v>
      </c>
      <c r="E340" s="97" t="s">
        <v>367</v>
      </c>
    </row>
    <row r="341" spans="3:5" x14ac:dyDescent="0.25">
      <c r="C341" s="92">
        <v>2</v>
      </c>
      <c r="D341" s="32">
        <v>212.01</v>
      </c>
      <c r="E341" s="90" t="s">
        <v>367</v>
      </c>
    </row>
    <row r="342" spans="3:5" x14ac:dyDescent="0.25">
      <c r="C342" s="91">
        <v>1</v>
      </c>
      <c r="D342" s="32">
        <v>213</v>
      </c>
      <c r="E342" s="97" t="s">
        <v>368</v>
      </c>
    </row>
    <row r="343" spans="3:5" x14ac:dyDescent="0.25">
      <c r="C343" s="92">
        <v>2</v>
      </c>
      <c r="D343" s="32">
        <v>213.01</v>
      </c>
      <c r="E343" s="90" t="s">
        <v>369</v>
      </c>
    </row>
    <row r="344" spans="3:5" x14ac:dyDescent="0.25">
      <c r="C344" s="92">
        <v>2</v>
      </c>
      <c r="D344" s="32">
        <v>213.02</v>
      </c>
      <c r="E344" s="90" t="s">
        <v>370</v>
      </c>
    </row>
    <row r="345" spans="3:5" x14ac:dyDescent="0.25">
      <c r="C345" s="92">
        <v>2</v>
      </c>
      <c r="D345" s="32">
        <v>213.03</v>
      </c>
      <c r="E345" s="90" t="s">
        <v>371</v>
      </c>
    </row>
    <row r="346" spans="3:5" x14ac:dyDescent="0.25">
      <c r="C346" s="92">
        <v>2</v>
      </c>
      <c r="D346" s="32">
        <v>213.04</v>
      </c>
      <c r="E346" s="90" t="s">
        <v>372</v>
      </c>
    </row>
    <row r="347" spans="3:5" x14ac:dyDescent="0.25">
      <c r="C347" s="92">
        <v>2</v>
      </c>
      <c r="D347" s="32">
        <v>213.05</v>
      </c>
      <c r="E347" s="90" t="s">
        <v>373</v>
      </c>
    </row>
    <row r="348" spans="3:5" x14ac:dyDescent="0.25">
      <c r="C348" s="92">
        <v>2</v>
      </c>
      <c r="D348" s="32">
        <v>213.06</v>
      </c>
      <c r="E348" s="90" t="s">
        <v>374</v>
      </c>
    </row>
    <row r="349" spans="3:5" x14ac:dyDescent="0.25">
      <c r="C349" s="92">
        <v>2</v>
      </c>
      <c r="D349" s="32">
        <v>213.07</v>
      </c>
      <c r="E349" s="90" t="s">
        <v>375</v>
      </c>
    </row>
    <row r="350" spans="3:5" x14ac:dyDescent="0.25">
      <c r="C350" s="91">
        <v>1</v>
      </c>
      <c r="D350" s="32">
        <v>214</v>
      </c>
      <c r="E350" s="97" t="s">
        <v>376</v>
      </c>
    </row>
    <row r="351" spans="3:5" x14ac:dyDescent="0.25">
      <c r="C351" s="92">
        <v>2</v>
      </c>
      <c r="D351" s="32">
        <v>214.01</v>
      </c>
      <c r="E351" s="90" t="s">
        <v>376</v>
      </c>
    </row>
    <row r="352" spans="3:5" x14ac:dyDescent="0.25">
      <c r="C352" s="91">
        <v>1</v>
      </c>
      <c r="D352" s="32">
        <v>215</v>
      </c>
      <c r="E352" s="97" t="s">
        <v>377</v>
      </c>
    </row>
    <row r="353" spans="3:5" x14ac:dyDescent="0.25">
      <c r="C353" s="92">
        <v>2</v>
      </c>
      <c r="D353" s="32">
        <v>215.01</v>
      </c>
      <c r="E353" s="90" t="s">
        <v>377</v>
      </c>
    </row>
    <row r="354" spans="3:5" x14ac:dyDescent="0.25">
      <c r="C354" s="92">
        <v>2</v>
      </c>
      <c r="D354" s="32">
        <v>215.02</v>
      </c>
      <c r="E354" s="90" t="s">
        <v>378</v>
      </c>
    </row>
    <row r="355" spans="3:5" x14ac:dyDescent="0.25">
      <c r="C355" s="92">
        <v>2</v>
      </c>
      <c r="D355" s="32">
        <v>215.03</v>
      </c>
      <c r="E355" s="90" t="s">
        <v>379</v>
      </c>
    </row>
    <row r="356" spans="3:5" x14ac:dyDescent="0.25">
      <c r="C356" s="91">
        <v>1</v>
      </c>
      <c r="D356" s="32">
        <v>216</v>
      </c>
      <c r="E356" s="97" t="s">
        <v>380</v>
      </c>
    </row>
    <row r="357" spans="3:5" x14ac:dyDescent="0.25">
      <c r="C357" s="92">
        <v>2</v>
      </c>
      <c r="D357" s="32">
        <v>216.01</v>
      </c>
      <c r="E357" s="90" t="s">
        <v>381</v>
      </c>
    </row>
    <row r="358" spans="3:5" x14ac:dyDescent="0.25">
      <c r="C358" s="92">
        <v>2</v>
      </c>
      <c r="D358" s="32">
        <v>216.02</v>
      </c>
      <c r="E358" s="90" t="s">
        <v>382</v>
      </c>
    </row>
    <row r="359" spans="3:5" x14ac:dyDescent="0.25">
      <c r="C359" s="92">
        <v>2</v>
      </c>
      <c r="D359" s="32">
        <v>216.03</v>
      </c>
      <c r="E359" s="90" t="s">
        <v>383</v>
      </c>
    </row>
    <row r="360" spans="3:5" x14ac:dyDescent="0.25">
      <c r="C360" s="92">
        <v>2</v>
      </c>
      <c r="D360" s="32">
        <v>216.04</v>
      </c>
      <c r="E360" s="90" t="s">
        <v>384</v>
      </c>
    </row>
    <row r="361" spans="3:5" x14ac:dyDescent="0.25">
      <c r="C361" s="92">
        <v>2</v>
      </c>
      <c r="D361" s="32">
        <v>216.05</v>
      </c>
      <c r="E361" s="90" t="s">
        <v>385</v>
      </c>
    </row>
    <row r="362" spans="3:5" x14ac:dyDescent="0.25">
      <c r="C362" s="92">
        <v>2</v>
      </c>
      <c r="D362" s="32">
        <v>216.06</v>
      </c>
      <c r="E362" s="90" t="s">
        <v>386</v>
      </c>
    </row>
    <row r="363" spans="3:5" x14ac:dyDescent="0.25">
      <c r="C363" s="92">
        <v>2</v>
      </c>
      <c r="D363" s="32">
        <v>216.07</v>
      </c>
      <c r="E363" s="90" t="s">
        <v>387</v>
      </c>
    </row>
    <row r="364" spans="3:5" x14ac:dyDescent="0.25">
      <c r="C364" s="92">
        <v>2</v>
      </c>
      <c r="D364" s="32">
        <v>216.08</v>
      </c>
      <c r="E364" s="90" t="s">
        <v>388</v>
      </c>
    </row>
    <row r="365" spans="3:5" x14ac:dyDescent="0.25">
      <c r="C365" s="92">
        <v>2</v>
      </c>
      <c r="D365" s="32">
        <v>216.09</v>
      </c>
      <c r="E365" s="90" t="s">
        <v>389</v>
      </c>
    </row>
    <row r="366" spans="3:5" x14ac:dyDescent="0.25">
      <c r="C366" s="92">
        <v>2</v>
      </c>
      <c r="D366" s="32">
        <v>216.1</v>
      </c>
      <c r="E366" s="90" t="s">
        <v>390</v>
      </c>
    </row>
    <row r="367" spans="3:5" x14ac:dyDescent="0.25">
      <c r="C367" s="92">
        <v>2</v>
      </c>
      <c r="D367" s="32">
        <v>216.11</v>
      </c>
      <c r="E367" s="90" t="s">
        <v>391</v>
      </c>
    </row>
    <row r="368" spans="3:5" x14ac:dyDescent="0.25">
      <c r="C368" s="92">
        <v>2</v>
      </c>
      <c r="D368" s="32">
        <v>216.12</v>
      </c>
      <c r="E368" s="90" t="s">
        <v>392</v>
      </c>
    </row>
    <row r="369" spans="3:5" x14ac:dyDescent="0.25">
      <c r="C369" s="91">
        <v>1</v>
      </c>
      <c r="D369" s="32">
        <v>217</v>
      </c>
      <c r="E369" s="97" t="s">
        <v>393</v>
      </c>
    </row>
    <row r="370" spans="3:5" x14ac:dyDescent="0.25">
      <c r="C370" s="92">
        <v>2</v>
      </c>
      <c r="D370" s="32">
        <v>217.01</v>
      </c>
      <c r="E370" s="90" t="s">
        <v>393</v>
      </c>
    </row>
    <row r="371" spans="3:5" x14ac:dyDescent="0.25">
      <c r="C371" s="91">
        <v>1</v>
      </c>
      <c r="D371" s="32">
        <v>218</v>
      </c>
      <c r="E371" s="97" t="s">
        <v>394</v>
      </c>
    </row>
    <row r="372" spans="3:5" x14ac:dyDescent="0.25">
      <c r="C372" s="92">
        <v>2</v>
      </c>
      <c r="D372" s="32">
        <v>218.01</v>
      </c>
      <c r="E372" s="90" t="s">
        <v>394</v>
      </c>
    </row>
    <row r="373" spans="3:5" x14ac:dyDescent="0.25">
      <c r="C373" s="89"/>
      <c r="D373" s="32">
        <v>200.02</v>
      </c>
      <c r="E373" s="97" t="s">
        <v>395</v>
      </c>
    </row>
    <row r="374" spans="3:5" x14ac:dyDescent="0.25">
      <c r="C374" s="91">
        <v>1</v>
      </c>
      <c r="D374" s="32">
        <v>251</v>
      </c>
      <c r="E374" s="97" t="s">
        <v>396</v>
      </c>
    </row>
    <row r="375" spans="3:5" x14ac:dyDescent="0.25">
      <c r="C375" s="92">
        <v>2</v>
      </c>
      <c r="D375" s="32">
        <v>251.01</v>
      </c>
      <c r="E375" s="90" t="s">
        <v>335</v>
      </c>
    </row>
    <row r="376" spans="3:5" x14ac:dyDescent="0.25">
      <c r="C376" s="92">
        <v>2</v>
      </c>
      <c r="D376" s="32">
        <v>251.02</v>
      </c>
      <c r="E376" s="90" t="s">
        <v>397</v>
      </c>
    </row>
    <row r="377" spans="3:5" x14ac:dyDescent="0.25">
      <c r="C377" s="92">
        <v>2</v>
      </c>
      <c r="D377" s="32">
        <v>251.03</v>
      </c>
      <c r="E377" s="90" t="s">
        <v>398</v>
      </c>
    </row>
    <row r="378" spans="3:5" x14ac:dyDescent="0.25">
      <c r="C378" s="92">
        <v>2</v>
      </c>
      <c r="D378" s="32">
        <v>251.04</v>
      </c>
      <c r="E378" s="90" t="s">
        <v>399</v>
      </c>
    </row>
    <row r="379" spans="3:5" x14ac:dyDescent="0.25">
      <c r="C379" s="92">
        <v>2</v>
      </c>
      <c r="D379" s="32">
        <v>251.05</v>
      </c>
      <c r="E379" s="90" t="s">
        <v>400</v>
      </c>
    </row>
    <row r="380" spans="3:5" x14ac:dyDescent="0.25">
      <c r="C380" s="92">
        <v>2</v>
      </c>
      <c r="D380" s="32">
        <v>251.06</v>
      </c>
      <c r="E380" s="90" t="s">
        <v>401</v>
      </c>
    </row>
    <row r="381" spans="3:5" x14ac:dyDescent="0.25">
      <c r="C381" s="91">
        <v>1</v>
      </c>
      <c r="D381" s="32">
        <v>252</v>
      </c>
      <c r="E381" s="97" t="s">
        <v>402</v>
      </c>
    </row>
    <row r="382" spans="3:5" x14ac:dyDescent="0.25">
      <c r="C382" s="92">
        <v>2</v>
      </c>
      <c r="D382" s="32">
        <v>252.01</v>
      </c>
      <c r="E382" s="90" t="s">
        <v>403</v>
      </c>
    </row>
    <row r="383" spans="3:5" x14ac:dyDescent="0.25">
      <c r="C383" s="92">
        <v>2</v>
      </c>
      <c r="D383" s="32">
        <v>252.02</v>
      </c>
      <c r="E383" s="90" t="s">
        <v>404</v>
      </c>
    </row>
    <row r="384" spans="3:5" x14ac:dyDescent="0.25">
      <c r="C384" s="92">
        <v>2</v>
      </c>
      <c r="D384" s="32">
        <v>252.03</v>
      </c>
      <c r="E384" s="90" t="s">
        <v>405</v>
      </c>
    </row>
    <row r="385" spans="3:5" x14ac:dyDescent="0.25">
      <c r="C385" s="92">
        <v>2</v>
      </c>
      <c r="D385" s="32">
        <v>252.04</v>
      </c>
      <c r="E385" s="90" t="s">
        <v>406</v>
      </c>
    </row>
    <row r="386" spans="3:5" x14ac:dyDescent="0.25">
      <c r="C386" s="92">
        <v>2</v>
      </c>
      <c r="D386" s="32">
        <v>252.05</v>
      </c>
      <c r="E386" s="90" t="s">
        <v>407</v>
      </c>
    </row>
    <row r="387" spans="3:5" x14ac:dyDescent="0.25">
      <c r="C387" s="92">
        <v>2</v>
      </c>
      <c r="D387" s="32">
        <v>252.06</v>
      </c>
      <c r="E387" s="90" t="s">
        <v>408</v>
      </c>
    </row>
    <row r="388" spans="3:5" x14ac:dyDescent="0.25">
      <c r="C388" s="92">
        <v>2</v>
      </c>
      <c r="D388" s="32">
        <v>252.07</v>
      </c>
      <c r="E388" s="90" t="s">
        <v>409</v>
      </c>
    </row>
    <row r="389" spans="3:5" x14ac:dyDescent="0.25">
      <c r="C389" s="92">
        <v>2</v>
      </c>
      <c r="D389" s="32">
        <v>252.08</v>
      </c>
      <c r="E389" s="90" t="s">
        <v>410</v>
      </c>
    </row>
    <row r="390" spans="3:5" x14ac:dyDescent="0.25">
      <c r="C390" s="92">
        <v>2</v>
      </c>
      <c r="D390" s="32">
        <v>252.09</v>
      </c>
      <c r="E390" s="90" t="s">
        <v>411</v>
      </c>
    </row>
    <row r="391" spans="3:5" x14ac:dyDescent="0.25">
      <c r="C391" s="92">
        <v>2</v>
      </c>
      <c r="D391" s="32">
        <v>252.1</v>
      </c>
      <c r="E391" s="90" t="s">
        <v>412</v>
      </c>
    </row>
    <row r="392" spans="3:5" x14ac:dyDescent="0.25">
      <c r="C392" s="92">
        <v>2</v>
      </c>
      <c r="D392" s="32">
        <v>252.11</v>
      </c>
      <c r="E392" s="90" t="s">
        <v>413</v>
      </c>
    </row>
    <row r="393" spans="3:5" x14ac:dyDescent="0.25">
      <c r="C393" s="92">
        <v>2</v>
      </c>
      <c r="D393" s="32">
        <v>252.12</v>
      </c>
      <c r="E393" s="90" t="s">
        <v>414</v>
      </c>
    </row>
    <row r="394" spans="3:5" x14ac:dyDescent="0.25">
      <c r="C394" s="92">
        <v>2</v>
      </c>
      <c r="D394" s="32">
        <v>252.13</v>
      </c>
      <c r="E394" s="90" t="s">
        <v>415</v>
      </c>
    </row>
    <row r="395" spans="3:5" x14ac:dyDescent="0.25">
      <c r="C395" s="92">
        <v>2</v>
      </c>
      <c r="D395" s="32">
        <v>252.14</v>
      </c>
      <c r="E395" s="90" t="s">
        <v>416</v>
      </c>
    </row>
    <row r="396" spans="3:5" x14ac:dyDescent="0.25">
      <c r="C396" s="92">
        <v>2</v>
      </c>
      <c r="D396" s="32">
        <v>252.15</v>
      </c>
      <c r="E396" s="90" t="s">
        <v>417</v>
      </c>
    </row>
    <row r="397" spans="3:5" x14ac:dyDescent="0.25">
      <c r="C397" s="92">
        <v>2</v>
      </c>
      <c r="D397" s="32">
        <v>252.16</v>
      </c>
      <c r="E397" s="90" t="s">
        <v>418</v>
      </c>
    </row>
    <row r="398" spans="3:5" x14ac:dyDescent="0.25">
      <c r="C398" s="92">
        <v>2</v>
      </c>
      <c r="D398" s="32">
        <v>252.17</v>
      </c>
      <c r="E398" s="90" t="s">
        <v>419</v>
      </c>
    </row>
    <row r="399" spans="3:5" x14ac:dyDescent="0.25">
      <c r="C399" s="91">
        <v>1</v>
      </c>
      <c r="D399" s="32">
        <v>253</v>
      </c>
      <c r="E399" s="97" t="s">
        <v>420</v>
      </c>
    </row>
    <row r="400" spans="3:5" x14ac:dyDescent="0.25">
      <c r="C400" s="92">
        <v>2</v>
      </c>
      <c r="D400" s="32">
        <v>253.01</v>
      </c>
      <c r="E400" s="90" t="s">
        <v>421</v>
      </c>
    </row>
    <row r="401" spans="3:5" x14ac:dyDescent="0.25">
      <c r="C401" s="92">
        <v>2</v>
      </c>
      <c r="D401" s="32">
        <v>253.02</v>
      </c>
      <c r="E401" s="90" t="s">
        <v>422</v>
      </c>
    </row>
    <row r="402" spans="3:5" x14ac:dyDescent="0.25">
      <c r="C402" s="92">
        <v>2</v>
      </c>
      <c r="D402" s="32">
        <v>253.03</v>
      </c>
      <c r="E402" s="90" t="s">
        <v>423</v>
      </c>
    </row>
    <row r="403" spans="3:5" x14ac:dyDescent="0.25">
      <c r="C403" s="92">
        <v>2</v>
      </c>
      <c r="D403" s="32">
        <v>253.04</v>
      </c>
      <c r="E403" s="90" t="s">
        <v>424</v>
      </c>
    </row>
    <row r="404" spans="3:5" x14ac:dyDescent="0.25">
      <c r="C404" s="92">
        <v>2</v>
      </c>
      <c r="D404" s="32">
        <v>253.05</v>
      </c>
      <c r="E404" s="90" t="s">
        <v>425</v>
      </c>
    </row>
    <row r="405" spans="3:5" x14ac:dyDescent="0.25">
      <c r="C405" s="92">
        <v>2</v>
      </c>
      <c r="D405" s="32">
        <v>253.06</v>
      </c>
      <c r="E405" s="90" t="s">
        <v>426</v>
      </c>
    </row>
    <row r="406" spans="3:5" x14ac:dyDescent="0.25">
      <c r="C406" s="92">
        <v>2</v>
      </c>
      <c r="D406" s="32">
        <v>253.07</v>
      </c>
      <c r="E406" s="90" t="s">
        <v>427</v>
      </c>
    </row>
    <row r="407" spans="3:5" x14ac:dyDescent="0.25">
      <c r="C407" s="92">
        <v>2</v>
      </c>
      <c r="D407" s="32">
        <v>253.08</v>
      </c>
      <c r="E407" s="90" t="s">
        <v>428</v>
      </c>
    </row>
    <row r="408" spans="3:5" x14ac:dyDescent="0.25">
      <c r="C408" s="92">
        <v>2</v>
      </c>
      <c r="D408" s="32">
        <v>253.09</v>
      </c>
      <c r="E408" s="90" t="s">
        <v>429</v>
      </c>
    </row>
    <row r="409" spans="3:5" x14ac:dyDescent="0.25">
      <c r="C409" s="92">
        <v>2</v>
      </c>
      <c r="D409" s="32">
        <v>253.1</v>
      </c>
      <c r="E409" s="90" t="s">
        <v>430</v>
      </c>
    </row>
    <row r="410" spans="3:5" x14ac:dyDescent="0.25">
      <c r="C410" s="92">
        <v>2</v>
      </c>
      <c r="D410" s="32">
        <v>253.11</v>
      </c>
      <c r="E410" s="90" t="s">
        <v>431</v>
      </c>
    </row>
    <row r="411" spans="3:5" x14ac:dyDescent="0.25">
      <c r="C411" s="92">
        <v>2</v>
      </c>
      <c r="D411" s="32">
        <v>253.12</v>
      </c>
      <c r="E411" s="90" t="s">
        <v>432</v>
      </c>
    </row>
    <row r="412" spans="3:5" x14ac:dyDescent="0.25">
      <c r="C412" s="92">
        <v>2</v>
      </c>
      <c r="D412" s="32">
        <v>253.13</v>
      </c>
      <c r="E412" s="90" t="s">
        <v>433</v>
      </c>
    </row>
    <row r="413" spans="3:5" x14ac:dyDescent="0.25">
      <c r="C413" s="92">
        <v>2</v>
      </c>
      <c r="D413" s="32">
        <v>253.14</v>
      </c>
      <c r="E413" s="90" t="s">
        <v>434</v>
      </c>
    </row>
    <row r="414" spans="3:5" x14ac:dyDescent="0.25">
      <c r="C414" s="92">
        <v>2</v>
      </c>
      <c r="D414" s="32">
        <v>253.15</v>
      </c>
      <c r="E414" s="90" t="s">
        <v>435</v>
      </c>
    </row>
    <row r="415" spans="3:5" x14ac:dyDescent="0.25">
      <c r="C415" s="92">
        <v>2</v>
      </c>
      <c r="D415" s="32">
        <v>253.16</v>
      </c>
      <c r="E415" s="90" t="s">
        <v>436</v>
      </c>
    </row>
    <row r="416" spans="3:5" x14ac:dyDescent="0.25">
      <c r="C416" s="92">
        <v>2</v>
      </c>
      <c r="D416" s="32">
        <v>253.17</v>
      </c>
      <c r="E416" s="90" t="s">
        <v>151</v>
      </c>
    </row>
    <row r="417" spans="3:5" x14ac:dyDescent="0.25">
      <c r="C417" s="92">
        <v>2</v>
      </c>
      <c r="D417" s="32">
        <v>253.18</v>
      </c>
      <c r="E417" s="90" t="s">
        <v>332</v>
      </c>
    </row>
    <row r="418" spans="3:5" x14ac:dyDescent="0.25">
      <c r="C418" s="91">
        <v>1</v>
      </c>
      <c r="D418" s="32">
        <v>254</v>
      </c>
      <c r="E418" s="97" t="s">
        <v>437</v>
      </c>
    </row>
    <row r="419" spans="3:5" x14ac:dyDescent="0.25">
      <c r="C419" s="92">
        <v>2</v>
      </c>
      <c r="D419" s="32">
        <v>254.01</v>
      </c>
      <c r="E419" s="90" t="s">
        <v>437</v>
      </c>
    </row>
    <row r="420" spans="3:5" x14ac:dyDescent="0.25">
      <c r="C420" s="91">
        <v>1</v>
      </c>
      <c r="D420" s="32">
        <v>255</v>
      </c>
      <c r="E420" s="97" t="s">
        <v>438</v>
      </c>
    </row>
    <row r="421" spans="3:5" x14ac:dyDescent="0.25">
      <c r="C421" s="92">
        <v>2</v>
      </c>
      <c r="D421" s="32">
        <v>255.01</v>
      </c>
      <c r="E421" s="90" t="s">
        <v>438</v>
      </c>
    </row>
    <row r="422" spans="3:5" x14ac:dyDescent="0.25">
      <c r="C422" s="91">
        <v>1</v>
      </c>
      <c r="D422" s="32">
        <v>256</v>
      </c>
      <c r="E422" s="97" t="s">
        <v>439</v>
      </c>
    </row>
    <row r="423" spans="3:5" x14ac:dyDescent="0.25">
      <c r="C423" s="92">
        <v>2</v>
      </c>
      <c r="D423" s="32">
        <v>256.01</v>
      </c>
      <c r="E423" s="90" t="s">
        <v>439</v>
      </c>
    </row>
    <row r="424" spans="3:5" x14ac:dyDescent="0.25">
      <c r="C424" s="91">
        <v>1</v>
      </c>
      <c r="D424" s="32">
        <v>257</v>
      </c>
      <c r="E424" s="97" t="s">
        <v>440</v>
      </c>
    </row>
    <row r="425" spans="3:5" x14ac:dyDescent="0.25">
      <c r="C425" s="92">
        <v>2</v>
      </c>
      <c r="D425" s="32">
        <v>257.01</v>
      </c>
      <c r="E425" s="90" t="s">
        <v>440</v>
      </c>
    </row>
    <row r="426" spans="3:5" x14ac:dyDescent="0.25">
      <c r="C426" s="91">
        <v>1</v>
      </c>
      <c r="D426" s="32">
        <v>258</v>
      </c>
      <c r="E426" s="97" t="s">
        <v>441</v>
      </c>
    </row>
    <row r="427" spans="3:5" x14ac:dyDescent="0.25">
      <c r="C427" s="92">
        <v>2</v>
      </c>
      <c r="D427" s="32">
        <v>258.01</v>
      </c>
      <c r="E427" s="90" t="s">
        <v>441</v>
      </c>
    </row>
    <row r="428" spans="3:5" x14ac:dyDescent="0.25">
      <c r="C428" s="91">
        <v>1</v>
      </c>
      <c r="D428" s="32">
        <v>259</v>
      </c>
      <c r="E428" s="97" t="s">
        <v>275</v>
      </c>
    </row>
    <row r="429" spans="3:5" x14ac:dyDescent="0.25">
      <c r="C429" s="92">
        <v>2</v>
      </c>
      <c r="D429" s="32">
        <v>259.01</v>
      </c>
      <c r="E429" s="90" t="s">
        <v>442</v>
      </c>
    </row>
    <row r="430" spans="3:5" x14ac:dyDescent="0.25">
      <c r="C430" s="92">
        <v>2</v>
      </c>
      <c r="D430" s="32">
        <v>259.02</v>
      </c>
      <c r="E430" s="90" t="s">
        <v>443</v>
      </c>
    </row>
    <row r="431" spans="3:5" x14ac:dyDescent="0.25">
      <c r="C431" s="92">
        <v>2</v>
      </c>
      <c r="D431" s="32">
        <v>259.02999999999997</v>
      </c>
      <c r="E431" s="90" t="s">
        <v>444</v>
      </c>
    </row>
    <row r="432" spans="3:5" x14ac:dyDescent="0.25">
      <c r="C432" s="91">
        <v>1</v>
      </c>
      <c r="D432" s="32">
        <v>260</v>
      </c>
      <c r="E432" s="97" t="s">
        <v>445</v>
      </c>
    </row>
    <row r="433" spans="3:5" x14ac:dyDescent="0.25">
      <c r="C433" s="92">
        <v>2</v>
      </c>
      <c r="D433" s="32">
        <v>260.01</v>
      </c>
      <c r="E433" s="90" t="s">
        <v>445</v>
      </c>
    </row>
    <row r="434" spans="3:5" x14ac:dyDescent="0.25">
      <c r="C434" s="89"/>
      <c r="D434" s="32">
        <v>300</v>
      </c>
      <c r="E434" s="97" t="s">
        <v>4</v>
      </c>
    </row>
    <row r="435" spans="3:5" x14ac:dyDescent="0.25">
      <c r="C435" s="91">
        <v>1</v>
      </c>
      <c r="D435" s="32">
        <v>301</v>
      </c>
      <c r="E435" s="97" t="s">
        <v>446</v>
      </c>
    </row>
    <row r="436" spans="3:5" x14ac:dyDescent="0.25">
      <c r="C436" s="92">
        <v>2</v>
      </c>
      <c r="D436" s="32">
        <v>301.01</v>
      </c>
      <c r="E436" s="90" t="s">
        <v>447</v>
      </c>
    </row>
    <row r="437" spans="3:5" x14ac:dyDescent="0.25">
      <c r="C437" s="92">
        <v>2</v>
      </c>
      <c r="D437" s="32">
        <v>301.02</v>
      </c>
      <c r="E437" s="90" t="s">
        <v>448</v>
      </c>
    </row>
    <row r="438" spans="3:5" x14ac:dyDescent="0.25">
      <c r="C438" s="92">
        <v>2</v>
      </c>
      <c r="D438" s="32">
        <v>301.02999999999997</v>
      </c>
      <c r="E438" s="90" t="s">
        <v>449</v>
      </c>
    </row>
    <row r="439" spans="3:5" x14ac:dyDescent="0.25">
      <c r="C439" s="92">
        <v>2</v>
      </c>
      <c r="D439" s="32">
        <v>301.04000000000002</v>
      </c>
      <c r="E439" s="90" t="s">
        <v>450</v>
      </c>
    </row>
    <row r="440" spans="3:5" x14ac:dyDescent="0.25">
      <c r="C440" s="92">
        <v>2</v>
      </c>
      <c r="D440" s="32">
        <v>301.05</v>
      </c>
      <c r="E440" s="90" t="s">
        <v>451</v>
      </c>
    </row>
    <row r="441" spans="3:5" x14ac:dyDescent="0.25">
      <c r="C441" s="91">
        <v>1</v>
      </c>
      <c r="D441" s="32">
        <v>302</v>
      </c>
      <c r="E441" s="97" t="s">
        <v>452</v>
      </c>
    </row>
    <row r="442" spans="3:5" x14ac:dyDescent="0.25">
      <c r="C442" s="92">
        <v>2</v>
      </c>
      <c r="D442" s="32">
        <v>302.01</v>
      </c>
      <c r="E442" s="90" t="s">
        <v>452</v>
      </c>
    </row>
    <row r="443" spans="3:5" x14ac:dyDescent="0.25">
      <c r="C443" s="92">
        <v>2</v>
      </c>
      <c r="D443" s="32">
        <v>302.02</v>
      </c>
      <c r="E443" s="90" t="s">
        <v>453</v>
      </c>
    </row>
    <row r="444" spans="3:5" x14ac:dyDescent="0.25">
      <c r="C444" s="92">
        <v>2</v>
      </c>
      <c r="D444" s="32">
        <v>302.02999999999997</v>
      </c>
      <c r="E444" s="90" t="s">
        <v>454</v>
      </c>
    </row>
    <row r="445" spans="3:5" x14ac:dyDescent="0.25">
      <c r="C445" s="91">
        <v>1</v>
      </c>
      <c r="D445" s="32">
        <v>303</v>
      </c>
      <c r="E445" s="97" t="s">
        <v>455</v>
      </c>
    </row>
    <row r="446" spans="3:5" x14ac:dyDescent="0.25">
      <c r="C446" s="92">
        <v>2</v>
      </c>
      <c r="D446" s="32">
        <v>303.01</v>
      </c>
      <c r="E446" s="90" t="s">
        <v>455</v>
      </c>
    </row>
    <row r="447" spans="3:5" x14ac:dyDescent="0.25">
      <c r="C447" s="91">
        <v>1</v>
      </c>
      <c r="D447" s="32">
        <v>304</v>
      </c>
      <c r="E447" s="97" t="s">
        <v>456</v>
      </c>
    </row>
    <row r="448" spans="3:5" x14ac:dyDescent="0.25">
      <c r="C448" s="92">
        <v>2</v>
      </c>
      <c r="D448" s="32">
        <v>304.01</v>
      </c>
      <c r="E448" s="90" t="s">
        <v>457</v>
      </c>
    </row>
    <row r="449" spans="3:5" x14ac:dyDescent="0.25">
      <c r="C449" s="92">
        <v>2</v>
      </c>
      <c r="D449" s="32">
        <v>304.02</v>
      </c>
      <c r="E449" s="90" t="s">
        <v>458</v>
      </c>
    </row>
    <row r="450" spans="3:5" x14ac:dyDescent="0.25">
      <c r="C450" s="92">
        <v>2</v>
      </c>
      <c r="D450" s="32">
        <v>304.02999999999997</v>
      </c>
      <c r="E450" s="90" t="s">
        <v>459</v>
      </c>
    </row>
    <row r="451" spans="3:5" x14ac:dyDescent="0.25">
      <c r="C451" s="92">
        <v>2</v>
      </c>
      <c r="D451" s="32">
        <v>304.04000000000002</v>
      </c>
      <c r="E451" s="90" t="s">
        <v>460</v>
      </c>
    </row>
    <row r="452" spans="3:5" x14ac:dyDescent="0.25">
      <c r="C452" s="91">
        <v>1</v>
      </c>
      <c r="D452" s="32">
        <v>305</v>
      </c>
      <c r="E452" s="97" t="s">
        <v>461</v>
      </c>
    </row>
    <row r="453" spans="3:5" x14ac:dyDescent="0.25">
      <c r="C453" s="92">
        <v>2</v>
      </c>
      <c r="D453" s="32">
        <v>305.01</v>
      </c>
      <c r="E453" s="90" t="s">
        <v>462</v>
      </c>
    </row>
    <row r="454" spans="3:5" x14ac:dyDescent="0.25">
      <c r="C454" s="92">
        <v>2</v>
      </c>
      <c r="D454" s="32">
        <v>305.02</v>
      </c>
      <c r="E454" s="90" t="s">
        <v>463</v>
      </c>
    </row>
    <row r="455" spans="3:5" x14ac:dyDescent="0.25">
      <c r="C455" s="92">
        <v>2</v>
      </c>
      <c r="D455" s="32">
        <v>305.02999999999997</v>
      </c>
      <c r="E455" s="90" t="s">
        <v>464</v>
      </c>
    </row>
    <row r="456" spans="3:5" x14ac:dyDescent="0.25">
      <c r="C456" s="91">
        <v>1</v>
      </c>
      <c r="D456" s="32">
        <v>306</v>
      </c>
      <c r="E456" s="97" t="s">
        <v>465</v>
      </c>
    </row>
    <row r="457" spans="3:5" x14ac:dyDescent="0.25">
      <c r="C457" s="92">
        <v>2</v>
      </c>
      <c r="D457" s="32">
        <v>306.01</v>
      </c>
      <c r="E457" s="90" t="s">
        <v>465</v>
      </c>
    </row>
    <row r="458" spans="3:5" x14ac:dyDescent="0.25">
      <c r="C458" s="89"/>
      <c r="D458" s="32">
        <v>400</v>
      </c>
      <c r="E458" s="97" t="s">
        <v>466</v>
      </c>
    </row>
    <row r="459" spans="3:5" x14ac:dyDescent="0.25">
      <c r="C459" s="91">
        <v>1</v>
      </c>
      <c r="D459" s="32">
        <v>401</v>
      </c>
      <c r="E459" s="97" t="s">
        <v>466</v>
      </c>
    </row>
    <row r="460" spans="3:5" x14ac:dyDescent="0.25">
      <c r="C460" s="92">
        <v>2</v>
      </c>
      <c r="D460" s="32">
        <v>401.01</v>
      </c>
      <c r="E460" s="90" t="s">
        <v>467</v>
      </c>
    </row>
    <row r="461" spans="3:5" x14ac:dyDescent="0.25">
      <c r="C461" s="92">
        <v>2</v>
      </c>
      <c r="D461" s="32">
        <v>401.02</v>
      </c>
      <c r="E461" s="90" t="s">
        <v>468</v>
      </c>
    </row>
    <row r="462" spans="3:5" x14ac:dyDescent="0.25">
      <c r="C462" s="92">
        <v>2</v>
      </c>
      <c r="D462" s="32">
        <v>401.03</v>
      </c>
      <c r="E462" s="90" t="s">
        <v>469</v>
      </c>
    </row>
    <row r="463" spans="3:5" x14ac:dyDescent="0.25">
      <c r="C463" s="92">
        <v>2</v>
      </c>
      <c r="D463" s="32">
        <v>401.04</v>
      </c>
      <c r="E463" s="90" t="s">
        <v>470</v>
      </c>
    </row>
    <row r="464" spans="3:5" x14ac:dyDescent="0.25">
      <c r="C464" s="92">
        <v>2</v>
      </c>
      <c r="D464" s="32">
        <v>401.05</v>
      </c>
      <c r="E464" s="90" t="s">
        <v>471</v>
      </c>
    </row>
    <row r="465" spans="3:5" x14ac:dyDescent="0.25">
      <c r="C465" s="92">
        <v>2</v>
      </c>
      <c r="D465" s="32">
        <v>401.06</v>
      </c>
      <c r="E465" s="90" t="s">
        <v>472</v>
      </c>
    </row>
    <row r="466" spans="3:5" x14ac:dyDescent="0.25">
      <c r="C466" s="92">
        <v>2</v>
      </c>
      <c r="D466" s="32">
        <v>401.07</v>
      </c>
      <c r="E466" s="90" t="s">
        <v>473</v>
      </c>
    </row>
    <row r="467" spans="3:5" x14ac:dyDescent="0.25">
      <c r="C467" s="92">
        <v>2</v>
      </c>
      <c r="D467" s="32">
        <v>401.08</v>
      </c>
      <c r="E467" s="90" t="s">
        <v>474</v>
      </c>
    </row>
    <row r="468" spans="3:5" x14ac:dyDescent="0.25">
      <c r="C468" s="92">
        <v>2</v>
      </c>
      <c r="D468" s="32">
        <v>401.09</v>
      </c>
      <c r="E468" s="90" t="s">
        <v>475</v>
      </c>
    </row>
    <row r="469" spans="3:5" x14ac:dyDescent="0.25">
      <c r="C469" s="92">
        <v>2</v>
      </c>
      <c r="D469" s="32">
        <v>401.1</v>
      </c>
      <c r="E469" s="90" t="s">
        <v>476</v>
      </c>
    </row>
    <row r="470" spans="3:5" x14ac:dyDescent="0.25">
      <c r="C470" s="92">
        <v>2</v>
      </c>
      <c r="D470" s="32">
        <v>401.11</v>
      </c>
      <c r="E470" s="90" t="s">
        <v>477</v>
      </c>
    </row>
    <row r="471" spans="3:5" x14ac:dyDescent="0.25">
      <c r="C471" s="92">
        <v>2</v>
      </c>
      <c r="D471" s="32">
        <v>401.12</v>
      </c>
      <c r="E471" s="90" t="s">
        <v>478</v>
      </c>
    </row>
    <row r="472" spans="3:5" x14ac:dyDescent="0.25">
      <c r="C472" s="92">
        <v>2</v>
      </c>
      <c r="D472" s="32">
        <v>401.13</v>
      </c>
      <c r="E472" s="90" t="s">
        <v>479</v>
      </c>
    </row>
    <row r="473" spans="3:5" x14ac:dyDescent="0.25">
      <c r="C473" s="92">
        <v>2</v>
      </c>
      <c r="D473" s="32">
        <v>401.14</v>
      </c>
      <c r="E473" s="90" t="s">
        <v>480</v>
      </c>
    </row>
    <row r="474" spans="3:5" x14ac:dyDescent="0.25">
      <c r="C474" s="92">
        <v>2</v>
      </c>
      <c r="D474" s="32">
        <v>401.15</v>
      </c>
      <c r="E474" s="90" t="s">
        <v>481</v>
      </c>
    </row>
    <row r="475" spans="3:5" x14ac:dyDescent="0.25">
      <c r="C475" s="92">
        <v>2</v>
      </c>
      <c r="D475" s="32">
        <v>401.16</v>
      </c>
      <c r="E475" s="90" t="s">
        <v>482</v>
      </c>
    </row>
    <row r="476" spans="3:5" x14ac:dyDescent="0.25">
      <c r="C476" s="92">
        <v>2</v>
      </c>
      <c r="D476" s="32">
        <v>401.17</v>
      </c>
      <c r="E476" s="90" t="s">
        <v>483</v>
      </c>
    </row>
    <row r="477" spans="3:5" x14ac:dyDescent="0.25">
      <c r="C477" s="92">
        <v>2</v>
      </c>
      <c r="D477" s="32">
        <v>401.18</v>
      </c>
      <c r="E477" s="90" t="s">
        <v>484</v>
      </c>
    </row>
    <row r="478" spans="3:5" x14ac:dyDescent="0.25">
      <c r="C478" s="92">
        <v>2</v>
      </c>
      <c r="D478" s="32">
        <v>401.19</v>
      </c>
      <c r="E478" s="90" t="s">
        <v>485</v>
      </c>
    </row>
    <row r="479" spans="3:5" x14ac:dyDescent="0.25">
      <c r="C479" s="92">
        <v>2</v>
      </c>
      <c r="D479" s="32">
        <v>401.2</v>
      </c>
      <c r="E479" s="90" t="s">
        <v>486</v>
      </c>
    </row>
    <row r="480" spans="3:5" x14ac:dyDescent="0.25">
      <c r="C480" s="92">
        <v>2</v>
      </c>
      <c r="D480" s="32">
        <v>401.21</v>
      </c>
      <c r="E480" s="90" t="s">
        <v>487</v>
      </c>
    </row>
    <row r="481" spans="3:5" x14ac:dyDescent="0.25">
      <c r="C481" s="92">
        <v>2</v>
      </c>
      <c r="D481" s="32">
        <v>401.22</v>
      </c>
      <c r="E481" s="90" t="s">
        <v>488</v>
      </c>
    </row>
    <row r="482" spans="3:5" x14ac:dyDescent="0.25">
      <c r="C482" s="92">
        <v>2</v>
      </c>
      <c r="D482" s="32">
        <v>401.23</v>
      </c>
      <c r="E482" s="90" t="s">
        <v>489</v>
      </c>
    </row>
    <row r="483" spans="3:5" x14ac:dyDescent="0.25">
      <c r="C483" s="92">
        <v>2</v>
      </c>
      <c r="D483" s="32">
        <v>401.24</v>
      </c>
      <c r="E483" s="90" t="s">
        <v>490</v>
      </c>
    </row>
    <row r="484" spans="3:5" x14ac:dyDescent="0.25">
      <c r="C484" s="92">
        <v>2</v>
      </c>
      <c r="D484" s="32">
        <v>401.25</v>
      </c>
      <c r="E484" s="90" t="s">
        <v>491</v>
      </c>
    </row>
    <row r="485" spans="3:5" x14ac:dyDescent="0.25">
      <c r="C485" s="92">
        <v>2</v>
      </c>
      <c r="D485" s="32">
        <v>401.26</v>
      </c>
      <c r="E485" s="90" t="s">
        <v>492</v>
      </c>
    </row>
    <row r="486" spans="3:5" x14ac:dyDescent="0.25">
      <c r="C486" s="92">
        <v>2</v>
      </c>
      <c r="D486" s="32">
        <v>401.27</v>
      </c>
      <c r="E486" s="90" t="s">
        <v>493</v>
      </c>
    </row>
    <row r="487" spans="3:5" x14ac:dyDescent="0.25">
      <c r="C487" s="92">
        <v>2</v>
      </c>
      <c r="D487" s="32">
        <v>401.28</v>
      </c>
      <c r="E487" s="90" t="s">
        <v>494</v>
      </c>
    </row>
    <row r="488" spans="3:5" x14ac:dyDescent="0.25">
      <c r="C488" s="92">
        <v>2</v>
      </c>
      <c r="D488" s="32">
        <v>401.29</v>
      </c>
      <c r="E488" s="90" t="s">
        <v>495</v>
      </c>
    </row>
    <row r="489" spans="3:5" x14ac:dyDescent="0.25">
      <c r="C489" s="92">
        <v>2</v>
      </c>
      <c r="D489" s="32">
        <v>401.3</v>
      </c>
      <c r="E489" s="90" t="s">
        <v>496</v>
      </c>
    </row>
    <row r="490" spans="3:5" x14ac:dyDescent="0.25">
      <c r="C490" s="92">
        <v>2</v>
      </c>
      <c r="D490" s="32">
        <v>401.31</v>
      </c>
      <c r="E490" s="90" t="s">
        <v>497</v>
      </c>
    </row>
    <row r="491" spans="3:5" x14ac:dyDescent="0.25">
      <c r="C491" s="92">
        <v>2</v>
      </c>
      <c r="D491" s="32">
        <v>401.32</v>
      </c>
      <c r="E491" s="90" t="s">
        <v>498</v>
      </c>
    </row>
    <row r="492" spans="3:5" x14ac:dyDescent="0.25">
      <c r="C492" s="92">
        <v>2</v>
      </c>
      <c r="D492" s="32">
        <v>401.33</v>
      </c>
      <c r="E492" s="90" t="s">
        <v>499</v>
      </c>
    </row>
    <row r="493" spans="3:5" x14ac:dyDescent="0.25">
      <c r="C493" s="92">
        <v>2</v>
      </c>
      <c r="D493" s="32">
        <v>401.34</v>
      </c>
      <c r="E493" s="90" t="s">
        <v>500</v>
      </c>
    </row>
    <row r="494" spans="3:5" x14ac:dyDescent="0.25">
      <c r="C494" s="92">
        <v>2</v>
      </c>
      <c r="D494" s="32">
        <v>401.35</v>
      </c>
      <c r="E494" s="90" t="s">
        <v>501</v>
      </c>
    </row>
    <row r="495" spans="3:5" x14ac:dyDescent="0.25">
      <c r="C495" s="92">
        <v>2</v>
      </c>
      <c r="D495" s="32">
        <v>401.36</v>
      </c>
      <c r="E495" s="90" t="s">
        <v>502</v>
      </c>
    </row>
    <row r="496" spans="3:5" x14ac:dyDescent="0.25">
      <c r="C496" s="92">
        <v>2</v>
      </c>
      <c r="D496" s="32">
        <v>401.37</v>
      </c>
      <c r="E496" s="90" t="s">
        <v>503</v>
      </c>
    </row>
    <row r="497" spans="3:5" x14ac:dyDescent="0.25">
      <c r="C497" s="92">
        <v>2</v>
      </c>
      <c r="D497" s="32">
        <v>401.38</v>
      </c>
      <c r="E497" s="90" t="s">
        <v>504</v>
      </c>
    </row>
    <row r="498" spans="3:5" x14ac:dyDescent="0.25">
      <c r="C498" s="91">
        <v>1</v>
      </c>
      <c r="D498" s="32">
        <v>402</v>
      </c>
      <c r="E498" s="97" t="s">
        <v>505</v>
      </c>
    </row>
    <row r="499" spans="3:5" x14ac:dyDescent="0.25">
      <c r="C499" s="92">
        <v>2</v>
      </c>
      <c r="D499" s="32">
        <v>402.01</v>
      </c>
      <c r="E499" s="90" t="s">
        <v>506</v>
      </c>
    </row>
    <row r="500" spans="3:5" x14ac:dyDescent="0.25">
      <c r="C500" s="92">
        <v>2</v>
      </c>
      <c r="D500" s="32">
        <v>402.02</v>
      </c>
      <c r="E500" s="90" t="s">
        <v>507</v>
      </c>
    </row>
    <row r="501" spans="3:5" x14ac:dyDescent="0.25">
      <c r="C501" s="92">
        <v>2</v>
      </c>
      <c r="D501" s="32">
        <v>402.03</v>
      </c>
      <c r="E501" s="90" t="s">
        <v>508</v>
      </c>
    </row>
    <row r="502" spans="3:5" x14ac:dyDescent="0.25">
      <c r="C502" s="92">
        <v>2</v>
      </c>
      <c r="D502" s="32">
        <v>402.04</v>
      </c>
      <c r="E502" s="90" t="s">
        <v>509</v>
      </c>
    </row>
    <row r="503" spans="3:5" x14ac:dyDescent="0.25">
      <c r="C503" s="91">
        <v>1</v>
      </c>
      <c r="D503" s="32">
        <v>403</v>
      </c>
      <c r="E503" s="97" t="s">
        <v>510</v>
      </c>
    </row>
    <row r="504" spans="3:5" x14ac:dyDescent="0.25">
      <c r="C504" s="92">
        <v>2</v>
      </c>
      <c r="D504" s="32">
        <v>403.01</v>
      </c>
      <c r="E504" s="90" t="s">
        <v>511</v>
      </c>
    </row>
    <row r="505" spans="3:5" x14ac:dyDescent="0.25">
      <c r="C505" s="92">
        <v>2</v>
      </c>
      <c r="D505" s="32">
        <v>403.02</v>
      </c>
      <c r="E505" s="90" t="s">
        <v>512</v>
      </c>
    </row>
    <row r="506" spans="3:5" x14ac:dyDescent="0.25">
      <c r="C506" s="92">
        <v>2</v>
      </c>
      <c r="D506" s="32">
        <v>403.03</v>
      </c>
      <c r="E506" s="90" t="s">
        <v>513</v>
      </c>
    </row>
    <row r="507" spans="3:5" x14ac:dyDescent="0.25">
      <c r="C507" s="92">
        <v>2</v>
      </c>
      <c r="D507" s="32">
        <v>403.04</v>
      </c>
      <c r="E507" s="90" t="s">
        <v>514</v>
      </c>
    </row>
    <row r="508" spans="3:5" x14ac:dyDescent="0.25">
      <c r="C508" s="92">
        <v>2</v>
      </c>
      <c r="D508" s="32">
        <v>403.05</v>
      </c>
      <c r="E508" s="90" t="s">
        <v>515</v>
      </c>
    </row>
    <row r="509" spans="3:5" x14ac:dyDescent="0.25">
      <c r="C509" s="89"/>
      <c r="D509" s="32">
        <v>500</v>
      </c>
      <c r="E509" s="97" t="s">
        <v>516</v>
      </c>
    </row>
    <row r="510" spans="3:5" x14ac:dyDescent="0.25">
      <c r="C510" s="91">
        <v>1</v>
      </c>
      <c r="D510" s="32">
        <v>501</v>
      </c>
      <c r="E510" s="97" t="s">
        <v>517</v>
      </c>
    </row>
    <row r="511" spans="3:5" x14ac:dyDescent="0.25">
      <c r="C511" s="92">
        <v>2</v>
      </c>
      <c r="D511" s="32">
        <v>501.01</v>
      </c>
      <c r="E511" s="90" t="s">
        <v>518</v>
      </c>
    </row>
    <row r="512" spans="3:5" x14ac:dyDescent="0.25">
      <c r="C512" s="92">
        <v>2</v>
      </c>
      <c r="D512" s="32">
        <v>501.02</v>
      </c>
      <c r="E512" s="90" t="s">
        <v>519</v>
      </c>
    </row>
    <row r="513" spans="3:5" x14ac:dyDescent="0.25">
      <c r="C513" s="92">
        <v>2</v>
      </c>
      <c r="D513" s="32">
        <v>501.03</v>
      </c>
      <c r="E513" s="90" t="s">
        <v>520</v>
      </c>
    </row>
    <row r="514" spans="3:5" x14ac:dyDescent="0.25">
      <c r="C514" s="92">
        <v>2</v>
      </c>
      <c r="D514" s="32">
        <v>501.04</v>
      </c>
      <c r="E514" s="90" t="s">
        <v>521</v>
      </c>
    </row>
    <row r="515" spans="3:5" x14ac:dyDescent="0.25">
      <c r="C515" s="92">
        <v>2</v>
      </c>
      <c r="D515" s="32">
        <v>501.05</v>
      </c>
      <c r="E515" s="90" t="s">
        <v>522</v>
      </c>
    </row>
    <row r="516" spans="3:5" x14ac:dyDescent="0.25">
      <c r="C516" s="92">
        <v>2</v>
      </c>
      <c r="D516" s="32">
        <v>501.06</v>
      </c>
      <c r="E516" s="90" t="s">
        <v>523</v>
      </c>
    </row>
    <row r="517" spans="3:5" x14ac:dyDescent="0.25">
      <c r="C517" s="92">
        <v>2</v>
      </c>
      <c r="D517" s="32">
        <v>501.07</v>
      </c>
      <c r="E517" s="90" t="s">
        <v>524</v>
      </c>
    </row>
    <row r="518" spans="3:5" x14ac:dyDescent="0.25">
      <c r="C518" s="92">
        <v>2</v>
      </c>
      <c r="D518" s="32">
        <v>501.08</v>
      </c>
      <c r="E518" s="90" t="s">
        <v>525</v>
      </c>
    </row>
    <row r="519" spans="3:5" x14ac:dyDescent="0.25">
      <c r="C519" s="91">
        <v>1</v>
      </c>
      <c r="D519" s="32">
        <v>502</v>
      </c>
      <c r="E519" s="97" t="s">
        <v>526</v>
      </c>
    </row>
    <row r="520" spans="3:5" x14ac:dyDescent="0.25">
      <c r="C520" s="92">
        <v>2</v>
      </c>
      <c r="D520" s="32">
        <v>502.01</v>
      </c>
      <c r="E520" s="90" t="s">
        <v>527</v>
      </c>
    </row>
    <row r="521" spans="3:5" x14ac:dyDescent="0.25">
      <c r="C521" s="92">
        <v>2</v>
      </c>
      <c r="D521" s="32">
        <v>502.02</v>
      </c>
      <c r="E521" s="90" t="s">
        <v>528</v>
      </c>
    </row>
    <row r="522" spans="3:5" x14ac:dyDescent="0.25">
      <c r="C522" s="92">
        <v>2</v>
      </c>
      <c r="D522" s="32">
        <v>502.03</v>
      </c>
      <c r="E522" s="90" t="s">
        <v>529</v>
      </c>
    </row>
    <row r="523" spans="3:5" x14ac:dyDescent="0.25">
      <c r="C523" s="92">
        <v>2</v>
      </c>
      <c r="D523" s="32">
        <v>502.04</v>
      </c>
      <c r="E523" s="90" t="s">
        <v>530</v>
      </c>
    </row>
    <row r="524" spans="3:5" x14ac:dyDescent="0.25">
      <c r="C524" s="91">
        <v>1</v>
      </c>
      <c r="D524" s="32">
        <v>503</v>
      </c>
      <c r="E524" s="97" t="s">
        <v>531</v>
      </c>
    </row>
    <row r="525" spans="3:5" x14ac:dyDescent="0.25">
      <c r="C525" s="92">
        <v>2</v>
      </c>
      <c r="D525" s="32">
        <v>503.01</v>
      </c>
      <c r="E525" s="90" t="s">
        <v>531</v>
      </c>
    </row>
    <row r="526" spans="3:5" x14ac:dyDescent="0.25">
      <c r="C526" s="91">
        <v>1</v>
      </c>
      <c r="D526" s="32">
        <v>504</v>
      </c>
      <c r="E526" s="97" t="s">
        <v>532</v>
      </c>
    </row>
    <row r="527" spans="3:5" x14ac:dyDescent="0.25">
      <c r="C527" s="92">
        <v>2</v>
      </c>
      <c r="D527" s="32">
        <v>504.01</v>
      </c>
      <c r="E527" s="90" t="s">
        <v>533</v>
      </c>
    </row>
    <row r="528" spans="3:5" x14ac:dyDescent="0.25">
      <c r="C528" s="92">
        <v>2</v>
      </c>
      <c r="D528" s="32">
        <v>504.02</v>
      </c>
      <c r="E528" s="90" t="s">
        <v>534</v>
      </c>
    </row>
    <row r="529" spans="3:5" x14ac:dyDescent="0.25">
      <c r="C529" s="92">
        <v>2</v>
      </c>
      <c r="D529" s="32">
        <v>504.03</v>
      </c>
      <c r="E529" s="90" t="s">
        <v>535</v>
      </c>
    </row>
    <row r="530" spans="3:5" x14ac:dyDescent="0.25">
      <c r="C530" s="92">
        <v>2</v>
      </c>
      <c r="D530" s="32">
        <v>504.04</v>
      </c>
      <c r="E530" s="90" t="s">
        <v>536</v>
      </c>
    </row>
    <row r="531" spans="3:5" x14ac:dyDescent="0.25">
      <c r="C531" s="92">
        <v>2</v>
      </c>
      <c r="D531" s="32">
        <v>504.05</v>
      </c>
      <c r="E531" s="90" t="s">
        <v>537</v>
      </c>
    </row>
    <row r="532" spans="3:5" x14ac:dyDescent="0.25">
      <c r="C532" s="92">
        <v>2</v>
      </c>
      <c r="D532" s="32">
        <v>504.06</v>
      </c>
      <c r="E532" s="90" t="s">
        <v>538</v>
      </c>
    </row>
    <row r="533" spans="3:5" x14ac:dyDescent="0.25">
      <c r="C533" s="92">
        <v>2</v>
      </c>
      <c r="D533" s="32">
        <v>504.07</v>
      </c>
      <c r="E533" s="90" t="s">
        <v>539</v>
      </c>
    </row>
    <row r="534" spans="3:5" x14ac:dyDescent="0.25">
      <c r="C534" s="92">
        <v>2</v>
      </c>
      <c r="D534" s="32">
        <v>504.08</v>
      </c>
      <c r="E534" s="90" t="s">
        <v>540</v>
      </c>
    </row>
    <row r="535" spans="3:5" ht="30" x14ac:dyDescent="0.25">
      <c r="C535" s="92">
        <v>2</v>
      </c>
      <c r="D535" s="32">
        <v>504.09</v>
      </c>
      <c r="E535" s="98" t="s">
        <v>541</v>
      </c>
    </row>
    <row r="536" spans="3:5" x14ac:dyDescent="0.25">
      <c r="C536" s="92">
        <v>2</v>
      </c>
      <c r="D536" s="32">
        <v>504.1</v>
      </c>
      <c r="E536" s="90" t="s">
        <v>542</v>
      </c>
    </row>
    <row r="537" spans="3:5" x14ac:dyDescent="0.25">
      <c r="C537" s="92">
        <v>2</v>
      </c>
      <c r="D537" s="32">
        <v>504.11</v>
      </c>
      <c r="E537" s="90" t="s">
        <v>543</v>
      </c>
    </row>
    <row r="538" spans="3:5" x14ac:dyDescent="0.25">
      <c r="C538" s="92">
        <v>2</v>
      </c>
      <c r="D538" s="32">
        <v>504.12</v>
      </c>
      <c r="E538" s="90" t="s">
        <v>544</v>
      </c>
    </row>
    <row r="539" spans="3:5" x14ac:dyDescent="0.25">
      <c r="C539" s="92">
        <v>2</v>
      </c>
      <c r="D539" s="32">
        <v>504.13</v>
      </c>
      <c r="E539" s="90" t="s">
        <v>545</v>
      </c>
    </row>
    <row r="540" spans="3:5" x14ac:dyDescent="0.25">
      <c r="C540" s="92">
        <v>2</v>
      </c>
      <c r="D540" s="32">
        <v>504.14</v>
      </c>
      <c r="E540" s="90" t="s">
        <v>546</v>
      </c>
    </row>
    <row r="541" spans="3:5" x14ac:dyDescent="0.25">
      <c r="C541" s="92">
        <v>2</v>
      </c>
      <c r="D541" s="32">
        <v>504.15</v>
      </c>
      <c r="E541" s="90" t="s">
        <v>547</v>
      </c>
    </row>
    <row r="542" spans="3:5" x14ac:dyDescent="0.25">
      <c r="C542" s="92">
        <v>2</v>
      </c>
      <c r="D542" s="32">
        <v>504.16</v>
      </c>
      <c r="E542" s="90" t="s">
        <v>548</v>
      </c>
    </row>
    <row r="543" spans="3:5" x14ac:dyDescent="0.25">
      <c r="C543" s="92">
        <v>2</v>
      </c>
      <c r="D543" s="32">
        <v>504.17</v>
      </c>
      <c r="E543" s="90" t="s">
        <v>549</v>
      </c>
    </row>
    <row r="544" spans="3:5" x14ac:dyDescent="0.25">
      <c r="C544" s="92">
        <v>2</v>
      </c>
      <c r="D544" s="32">
        <v>504.18</v>
      </c>
      <c r="E544" s="90" t="s">
        <v>550</v>
      </c>
    </row>
    <row r="545" spans="3:5" x14ac:dyDescent="0.25">
      <c r="C545" s="92">
        <v>2</v>
      </c>
      <c r="D545" s="32">
        <v>504.19</v>
      </c>
      <c r="E545" s="90" t="s">
        <v>551</v>
      </c>
    </row>
    <row r="546" spans="3:5" x14ac:dyDescent="0.25">
      <c r="C546" s="92">
        <v>2</v>
      </c>
      <c r="D546" s="32">
        <v>504.2</v>
      </c>
      <c r="E546" s="90" t="s">
        <v>552</v>
      </c>
    </row>
    <row r="547" spans="3:5" x14ac:dyDescent="0.25">
      <c r="C547" s="92">
        <v>2</v>
      </c>
      <c r="D547" s="32">
        <v>504.21</v>
      </c>
      <c r="E547" s="90" t="s">
        <v>553</v>
      </c>
    </row>
    <row r="548" spans="3:5" ht="30" x14ac:dyDescent="0.25">
      <c r="C548" s="92">
        <v>2</v>
      </c>
      <c r="D548" s="32">
        <v>504.22</v>
      </c>
      <c r="E548" s="98" t="s">
        <v>554</v>
      </c>
    </row>
    <row r="549" spans="3:5" x14ac:dyDescent="0.25">
      <c r="C549" s="92">
        <v>2</v>
      </c>
      <c r="D549" s="32">
        <v>504.23</v>
      </c>
      <c r="E549" s="90" t="s">
        <v>555</v>
      </c>
    </row>
    <row r="550" spans="3:5" x14ac:dyDescent="0.25">
      <c r="C550" s="92">
        <v>2</v>
      </c>
      <c r="D550" s="32">
        <v>504.24</v>
      </c>
      <c r="E550" s="90" t="s">
        <v>556</v>
      </c>
    </row>
    <row r="551" spans="3:5" x14ac:dyDescent="0.25">
      <c r="C551" s="92">
        <v>2</v>
      </c>
      <c r="D551" s="32">
        <v>504.25</v>
      </c>
      <c r="E551" s="90" t="s">
        <v>532</v>
      </c>
    </row>
    <row r="552" spans="3:5" x14ac:dyDescent="0.25">
      <c r="C552" s="91">
        <v>1</v>
      </c>
      <c r="D552" s="32">
        <v>505</v>
      </c>
      <c r="E552" s="97" t="s">
        <v>557</v>
      </c>
    </row>
    <row r="553" spans="3:5" x14ac:dyDescent="0.25">
      <c r="C553" s="92">
        <v>2</v>
      </c>
      <c r="D553" s="32">
        <v>505.01</v>
      </c>
      <c r="E553" s="90" t="s">
        <v>558</v>
      </c>
    </row>
    <row r="554" spans="3:5" x14ac:dyDescent="0.25">
      <c r="C554" s="92">
        <v>2</v>
      </c>
      <c r="D554" s="32">
        <v>505.02</v>
      </c>
      <c r="E554" s="90" t="s">
        <v>559</v>
      </c>
    </row>
    <row r="555" spans="3:5" x14ac:dyDescent="0.25">
      <c r="C555" s="89"/>
      <c r="D555" s="32">
        <v>600</v>
      </c>
      <c r="E555" s="97" t="s">
        <v>560</v>
      </c>
    </row>
    <row r="556" spans="3:5" x14ac:dyDescent="0.25">
      <c r="C556" s="91">
        <v>1</v>
      </c>
      <c r="D556" s="32">
        <v>601</v>
      </c>
      <c r="E556" s="97" t="s">
        <v>561</v>
      </c>
    </row>
    <row r="557" spans="3:5" x14ac:dyDescent="0.25">
      <c r="C557" s="92">
        <v>2</v>
      </c>
      <c r="D557" s="32">
        <v>601.01</v>
      </c>
      <c r="E557" s="90" t="s">
        <v>562</v>
      </c>
    </row>
    <row r="558" spans="3:5" x14ac:dyDescent="0.25">
      <c r="C558" s="92">
        <v>2</v>
      </c>
      <c r="D558" s="32">
        <v>601.02</v>
      </c>
      <c r="E558" s="90" t="s">
        <v>563</v>
      </c>
    </row>
    <row r="559" spans="3:5" x14ac:dyDescent="0.25">
      <c r="C559" s="92">
        <v>2</v>
      </c>
      <c r="D559" s="32">
        <v>601.03</v>
      </c>
      <c r="E559" s="90" t="s">
        <v>564</v>
      </c>
    </row>
    <row r="560" spans="3:5" x14ac:dyDescent="0.25">
      <c r="C560" s="92">
        <v>2</v>
      </c>
      <c r="D560" s="32">
        <v>601.04</v>
      </c>
      <c r="E560" s="90" t="s">
        <v>565</v>
      </c>
    </row>
    <row r="561" spans="3:5" x14ac:dyDescent="0.25">
      <c r="C561" s="92">
        <v>2</v>
      </c>
      <c r="D561" s="32">
        <v>601.04999999999995</v>
      </c>
      <c r="E561" s="90" t="s">
        <v>566</v>
      </c>
    </row>
    <row r="562" spans="3:5" x14ac:dyDescent="0.25">
      <c r="C562" s="92">
        <v>2</v>
      </c>
      <c r="D562" s="32">
        <v>601.05999999999995</v>
      </c>
      <c r="E562" s="90" t="s">
        <v>567</v>
      </c>
    </row>
    <row r="563" spans="3:5" x14ac:dyDescent="0.25">
      <c r="C563" s="92">
        <v>2</v>
      </c>
      <c r="D563" s="32">
        <v>601.07000000000005</v>
      </c>
      <c r="E563" s="90" t="s">
        <v>568</v>
      </c>
    </row>
    <row r="564" spans="3:5" x14ac:dyDescent="0.25">
      <c r="C564" s="92">
        <v>2</v>
      </c>
      <c r="D564" s="32">
        <v>601.08000000000004</v>
      </c>
      <c r="E564" s="90" t="s">
        <v>569</v>
      </c>
    </row>
    <row r="565" spans="3:5" x14ac:dyDescent="0.25">
      <c r="C565" s="92">
        <v>2</v>
      </c>
      <c r="D565" s="32">
        <v>601.09</v>
      </c>
      <c r="E565" s="90" t="s">
        <v>570</v>
      </c>
    </row>
    <row r="566" spans="3:5" x14ac:dyDescent="0.25">
      <c r="C566" s="92">
        <v>2</v>
      </c>
      <c r="D566" s="32">
        <v>601.1</v>
      </c>
      <c r="E566" s="90" t="s">
        <v>571</v>
      </c>
    </row>
    <row r="567" spans="3:5" x14ac:dyDescent="0.25">
      <c r="C567" s="92">
        <v>2</v>
      </c>
      <c r="D567" s="32">
        <v>601.11</v>
      </c>
      <c r="E567" s="90" t="s">
        <v>572</v>
      </c>
    </row>
    <row r="568" spans="3:5" x14ac:dyDescent="0.25">
      <c r="C568" s="92">
        <v>2</v>
      </c>
      <c r="D568" s="32">
        <v>601.12</v>
      </c>
      <c r="E568" s="90" t="s">
        <v>573</v>
      </c>
    </row>
    <row r="569" spans="3:5" x14ac:dyDescent="0.25">
      <c r="C569" s="92">
        <v>2</v>
      </c>
      <c r="D569" s="32">
        <v>601.13</v>
      </c>
      <c r="E569" s="90" t="s">
        <v>574</v>
      </c>
    </row>
    <row r="570" spans="3:5" x14ac:dyDescent="0.25">
      <c r="C570" s="92">
        <v>2</v>
      </c>
      <c r="D570" s="32">
        <v>601.14</v>
      </c>
      <c r="E570" s="90" t="s">
        <v>575</v>
      </c>
    </row>
    <row r="571" spans="3:5" x14ac:dyDescent="0.25">
      <c r="C571" s="92">
        <v>2</v>
      </c>
      <c r="D571" s="32">
        <v>601.15</v>
      </c>
      <c r="E571" s="90" t="s">
        <v>576</v>
      </c>
    </row>
    <row r="572" spans="3:5" x14ac:dyDescent="0.25">
      <c r="C572" s="92">
        <v>2</v>
      </c>
      <c r="D572" s="32">
        <v>601.16</v>
      </c>
      <c r="E572" s="90" t="s">
        <v>577</v>
      </c>
    </row>
    <row r="573" spans="3:5" x14ac:dyDescent="0.25">
      <c r="C573" s="92">
        <v>2</v>
      </c>
      <c r="D573" s="32">
        <v>601.16999999999996</v>
      </c>
      <c r="E573" s="90" t="s">
        <v>578</v>
      </c>
    </row>
    <row r="574" spans="3:5" x14ac:dyDescent="0.25">
      <c r="C574" s="92">
        <v>2</v>
      </c>
      <c r="D574" s="32">
        <v>601.17999999999995</v>
      </c>
      <c r="E574" s="90" t="s">
        <v>579</v>
      </c>
    </row>
    <row r="575" spans="3:5" x14ac:dyDescent="0.25">
      <c r="C575" s="92">
        <v>2</v>
      </c>
      <c r="D575" s="32">
        <v>601.19000000000005</v>
      </c>
      <c r="E575" s="90" t="s">
        <v>580</v>
      </c>
    </row>
    <row r="576" spans="3:5" x14ac:dyDescent="0.25">
      <c r="C576" s="92">
        <v>2</v>
      </c>
      <c r="D576" s="32">
        <v>601.20000000000005</v>
      </c>
      <c r="E576" s="90" t="s">
        <v>581</v>
      </c>
    </row>
    <row r="577" spans="3:5" x14ac:dyDescent="0.25">
      <c r="C577" s="92">
        <v>2</v>
      </c>
      <c r="D577" s="32">
        <v>601.21</v>
      </c>
      <c r="E577" s="90" t="s">
        <v>582</v>
      </c>
    </row>
    <row r="578" spans="3:5" x14ac:dyDescent="0.25">
      <c r="C578" s="92">
        <v>2</v>
      </c>
      <c r="D578" s="32">
        <v>601.22</v>
      </c>
      <c r="E578" s="90" t="s">
        <v>583</v>
      </c>
    </row>
    <row r="579" spans="3:5" x14ac:dyDescent="0.25">
      <c r="C579" s="92">
        <v>2</v>
      </c>
      <c r="D579" s="32">
        <v>601.23</v>
      </c>
      <c r="E579" s="90" t="s">
        <v>584</v>
      </c>
    </row>
    <row r="580" spans="3:5" x14ac:dyDescent="0.25">
      <c r="C580" s="92">
        <v>2</v>
      </c>
      <c r="D580" s="32">
        <v>601.24</v>
      </c>
      <c r="E580" s="90" t="s">
        <v>585</v>
      </c>
    </row>
    <row r="581" spans="3:5" x14ac:dyDescent="0.25">
      <c r="C581" s="92">
        <v>2</v>
      </c>
      <c r="D581" s="32">
        <v>601.25</v>
      </c>
      <c r="E581" s="90" t="s">
        <v>586</v>
      </c>
    </row>
    <row r="582" spans="3:5" x14ac:dyDescent="0.25">
      <c r="C582" s="92">
        <v>2</v>
      </c>
      <c r="D582" s="32">
        <v>601.26</v>
      </c>
      <c r="E582" s="90" t="s">
        <v>587</v>
      </c>
    </row>
    <row r="583" spans="3:5" x14ac:dyDescent="0.25">
      <c r="C583" s="92">
        <v>2</v>
      </c>
      <c r="D583" s="32">
        <v>601.27</v>
      </c>
      <c r="E583" s="90" t="s">
        <v>588</v>
      </c>
    </row>
    <row r="584" spans="3:5" x14ac:dyDescent="0.25">
      <c r="C584" s="92">
        <v>2</v>
      </c>
      <c r="D584" s="32">
        <v>601.28</v>
      </c>
      <c r="E584" s="90" t="s">
        <v>589</v>
      </c>
    </row>
    <row r="585" spans="3:5" x14ac:dyDescent="0.25">
      <c r="C585" s="92">
        <v>2</v>
      </c>
      <c r="D585" s="32">
        <v>601.29</v>
      </c>
      <c r="E585" s="90" t="s">
        <v>590</v>
      </c>
    </row>
    <row r="586" spans="3:5" x14ac:dyDescent="0.25">
      <c r="C586" s="92">
        <v>2</v>
      </c>
      <c r="D586" s="32">
        <v>601.29999999999995</v>
      </c>
      <c r="E586" s="90" t="s">
        <v>591</v>
      </c>
    </row>
    <row r="587" spans="3:5" x14ac:dyDescent="0.25">
      <c r="C587" s="92">
        <v>2</v>
      </c>
      <c r="D587" s="32">
        <v>601.30999999999995</v>
      </c>
      <c r="E587" s="90" t="s">
        <v>592</v>
      </c>
    </row>
    <row r="588" spans="3:5" x14ac:dyDescent="0.25">
      <c r="C588" s="92">
        <v>2</v>
      </c>
      <c r="D588" s="32">
        <v>601.32000000000005</v>
      </c>
      <c r="E588" s="90" t="s">
        <v>593</v>
      </c>
    </row>
    <row r="589" spans="3:5" x14ac:dyDescent="0.25">
      <c r="C589" s="92">
        <v>2</v>
      </c>
      <c r="D589" s="32">
        <v>601.33000000000004</v>
      </c>
      <c r="E589" s="90" t="s">
        <v>594</v>
      </c>
    </row>
    <row r="590" spans="3:5" x14ac:dyDescent="0.25">
      <c r="C590" s="92">
        <v>2</v>
      </c>
      <c r="D590" s="32">
        <v>601.34</v>
      </c>
      <c r="E590" s="90" t="s">
        <v>595</v>
      </c>
    </row>
    <row r="591" spans="3:5" x14ac:dyDescent="0.25">
      <c r="C591" s="92">
        <v>2</v>
      </c>
      <c r="D591" s="32">
        <v>601.35</v>
      </c>
      <c r="E591" s="90" t="s">
        <v>596</v>
      </c>
    </row>
    <row r="592" spans="3:5" x14ac:dyDescent="0.25">
      <c r="C592" s="92">
        <v>2</v>
      </c>
      <c r="D592" s="32">
        <v>601.36</v>
      </c>
      <c r="E592" s="90" t="s">
        <v>597</v>
      </c>
    </row>
    <row r="593" spans="3:5" x14ac:dyDescent="0.25">
      <c r="C593" s="92">
        <v>2</v>
      </c>
      <c r="D593" s="32">
        <v>601.37</v>
      </c>
      <c r="E593" s="90" t="s">
        <v>598</v>
      </c>
    </row>
    <row r="594" spans="3:5" x14ac:dyDescent="0.25">
      <c r="C594" s="92">
        <v>2</v>
      </c>
      <c r="D594" s="32">
        <v>601.38</v>
      </c>
      <c r="E594" s="90" t="s">
        <v>599</v>
      </c>
    </row>
    <row r="595" spans="3:5" x14ac:dyDescent="0.25">
      <c r="C595" s="92">
        <v>2</v>
      </c>
      <c r="D595" s="32">
        <v>601.39</v>
      </c>
      <c r="E595" s="90" t="s">
        <v>600</v>
      </c>
    </row>
    <row r="596" spans="3:5" x14ac:dyDescent="0.25">
      <c r="C596" s="92">
        <v>2</v>
      </c>
      <c r="D596" s="32">
        <v>601.4</v>
      </c>
      <c r="E596" s="90" t="s">
        <v>601</v>
      </c>
    </row>
    <row r="597" spans="3:5" x14ac:dyDescent="0.25">
      <c r="C597" s="92">
        <v>2</v>
      </c>
      <c r="D597" s="32">
        <v>601.41</v>
      </c>
      <c r="E597" s="90" t="s">
        <v>602</v>
      </c>
    </row>
    <row r="598" spans="3:5" x14ac:dyDescent="0.25">
      <c r="C598" s="92">
        <v>2</v>
      </c>
      <c r="D598" s="32">
        <v>601.41999999999996</v>
      </c>
      <c r="E598" s="90" t="s">
        <v>603</v>
      </c>
    </row>
    <row r="599" spans="3:5" x14ac:dyDescent="0.25">
      <c r="C599" s="92">
        <v>2</v>
      </c>
      <c r="D599" s="32">
        <v>601.42999999999995</v>
      </c>
      <c r="E599" s="90" t="s">
        <v>604</v>
      </c>
    </row>
    <row r="600" spans="3:5" x14ac:dyDescent="0.25">
      <c r="C600" s="92">
        <v>2</v>
      </c>
      <c r="D600" s="32">
        <v>601.44000000000005</v>
      </c>
      <c r="E600" s="90" t="s">
        <v>605</v>
      </c>
    </row>
    <row r="601" spans="3:5" x14ac:dyDescent="0.25">
      <c r="C601" s="92">
        <v>2</v>
      </c>
      <c r="D601" s="32">
        <v>601.45000000000005</v>
      </c>
      <c r="E601" s="90" t="s">
        <v>606</v>
      </c>
    </row>
    <row r="602" spans="3:5" x14ac:dyDescent="0.25">
      <c r="C602" s="92">
        <v>2</v>
      </c>
      <c r="D602" s="32">
        <v>601.46</v>
      </c>
      <c r="E602" s="90" t="s">
        <v>607</v>
      </c>
    </row>
    <row r="603" spans="3:5" x14ac:dyDescent="0.25">
      <c r="C603" s="92">
        <v>2</v>
      </c>
      <c r="D603" s="32">
        <v>601.47</v>
      </c>
      <c r="E603" s="90" t="s">
        <v>608</v>
      </c>
    </row>
    <row r="604" spans="3:5" x14ac:dyDescent="0.25">
      <c r="C604" s="92">
        <v>2</v>
      </c>
      <c r="D604" s="32">
        <v>601.48</v>
      </c>
      <c r="E604" s="90" t="s">
        <v>609</v>
      </c>
    </row>
    <row r="605" spans="3:5" x14ac:dyDescent="0.25">
      <c r="C605" s="92">
        <v>2</v>
      </c>
      <c r="D605" s="32">
        <v>601.49</v>
      </c>
      <c r="E605" s="90" t="s">
        <v>610</v>
      </c>
    </row>
    <row r="606" spans="3:5" x14ac:dyDescent="0.25">
      <c r="C606" s="92">
        <v>2</v>
      </c>
      <c r="D606" s="32">
        <v>601.5</v>
      </c>
      <c r="E606" s="90" t="s">
        <v>611</v>
      </c>
    </row>
    <row r="607" spans="3:5" x14ac:dyDescent="0.25">
      <c r="C607" s="92">
        <v>2</v>
      </c>
      <c r="D607" s="32">
        <v>601.51</v>
      </c>
      <c r="E607" s="90" t="s">
        <v>612</v>
      </c>
    </row>
    <row r="608" spans="3:5" x14ac:dyDescent="0.25">
      <c r="C608" s="92">
        <v>2</v>
      </c>
      <c r="D608" s="32">
        <v>601.52</v>
      </c>
      <c r="E608" s="90" t="s">
        <v>613</v>
      </c>
    </row>
    <row r="609" spans="3:5" x14ac:dyDescent="0.25">
      <c r="C609" s="92">
        <v>2</v>
      </c>
      <c r="D609" s="32">
        <v>601.53</v>
      </c>
      <c r="E609" s="90" t="s">
        <v>614</v>
      </c>
    </row>
    <row r="610" spans="3:5" x14ac:dyDescent="0.25">
      <c r="C610" s="92">
        <v>2</v>
      </c>
      <c r="D610" s="32">
        <v>601.54</v>
      </c>
      <c r="E610" s="90" t="s">
        <v>615</v>
      </c>
    </row>
    <row r="611" spans="3:5" x14ac:dyDescent="0.25">
      <c r="C611" s="92">
        <v>2</v>
      </c>
      <c r="D611" s="32">
        <v>601.54999999999995</v>
      </c>
      <c r="E611" s="90" t="s">
        <v>616</v>
      </c>
    </row>
    <row r="612" spans="3:5" x14ac:dyDescent="0.25">
      <c r="C612" s="92">
        <v>2</v>
      </c>
      <c r="D612" s="32">
        <v>601.55999999999995</v>
      </c>
      <c r="E612" s="90" t="s">
        <v>617</v>
      </c>
    </row>
    <row r="613" spans="3:5" x14ac:dyDescent="0.25">
      <c r="C613" s="92">
        <v>2</v>
      </c>
      <c r="D613" s="32">
        <v>601.57000000000005</v>
      </c>
      <c r="E613" s="90" t="s">
        <v>618</v>
      </c>
    </row>
    <row r="614" spans="3:5" x14ac:dyDescent="0.25">
      <c r="C614" s="92">
        <v>2</v>
      </c>
      <c r="D614" s="32">
        <v>601.58000000000004</v>
      </c>
      <c r="E614" s="90" t="s">
        <v>619</v>
      </c>
    </row>
    <row r="615" spans="3:5" x14ac:dyDescent="0.25">
      <c r="C615" s="92">
        <v>2</v>
      </c>
      <c r="D615" s="32">
        <v>601.59</v>
      </c>
      <c r="E615" s="90" t="s">
        <v>620</v>
      </c>
    </row>
    <row r="616" spans="3:5" x14ac:dyDescent="0.25">
      <c r="C616" s="92">
        <v>2</v>
      </c>
      <c r="D616" s="32">
        <v>601.6</v>
      </c>
      <c r="E616" s="90" t="s">
        <v>621</v>
      </c>
    </row>
    <row r="617" spans="3:5" x14ac:dyDescent="0.25">
      <c r="C617" s="92">
        <v>2</v>
      </c>
      <c r="D617" s="32">
        <v>601.61</v>
      </c>
      <c r="E617" s="90" t="s">
        <v>622</v>
      </c>
    </row>
    <row r="618" spans="3:5" x14ac:dyDescent="0.25">
      <c r="C618" s="92">
        <v>2</v>
      </c>
      <c r="D618" s="32">
        <v>601.62</v>
      </c>
      <c r="E618" s="90" t="s">
        <v>623</v>
      </c>
    </row>
    <row r="619" spans="3:5" x14ac:dyDescent="0.25">
      <c r="C619" s="92">
        <v>2</v>
      </c>
      <c r="D619" s="32">
        <v>601.63</v>
      </c>
      <c r="E619" s="90" t="s">
        <v>624</v>
      </c>
    </row>
    <row r="620" spans="3:5" x14ac:dyDescent="0.25">
      <c r="C620" s="92">
        <v>2</v>
      </c>
      <c r="D620" s="32">
        <v>601.64</v>
      </c>
      <c r="E620" s="90" t="s">
        <v>625</v>
      </c>
    </row>
    <row r="621" spans="3:5" x14ac:dyDescent="0.25">
      <c r="C621" s="92">
        <v>2</v>
      </c>
      <c r="D621" s="32">
        <v>601.65</v>
      </c>
      <c r="E621" s="90" t="s">
        <v>626</v>
      </c>
    </row>
    <row r="622" spans="3:5" x14ac:dyDescent="0.25">
      <c r="C622" s="92">
        <v>2</v>
      </c>
      <c r="D622" s="32">
        <v>601.66</v>
      </c>
      <c r="E622" s="90" t="s">
        <v>627</v>
      </c>
    </row>
    <row r="623" spans="3:5" x14ac:dyDescent="0.25">
      <c r="C623" s="92">
        <v>2</v>
      </c>
      <c r="D623" s="32">
        <v>601.66999999999996</v>
      </c>
      <c r="E623" s="90" t="s">
        <v>628</v>
      </c>
    </row>
    <row r="624" spans="3:5" x14ac:dyDescent="0.25">
      <c r="C624" s="92">
        <v>2</v>
      </c>
      <c r="D624" s="32">
        <v>601.67999999999995</v>
      </c>
      <c r="E624" s="90" t="s">
        <v>629</v>
      </c>
    </row>
    <row r="625" spans="3:5" x14ac:dyDescent="0.25">
      <c r="C625" s="92">
        <v>2</v>
      </c>
      <c r="D625" s="32">
        <v>601.69000000000005</v>
      </c>
      <c r="E625" s="90" t="s">
        <v>630</v>
      </c>
    </row>
    <row r="626" spans="3:5" x14ac:dyDescent="0.25">
      <c r="C626" s="92">
        <v>2</v>
      </c>
      <c r="D626" s="32">
        <v>601.70000000000005</v>
      </c>
      <c r="E626" s="90" t="s">
        <v>631</v>
      </c>
    </row>
    <row r="627" spans="3:5" x14ac:dyDescent="0.25">
      <c r="C627" s="92">
        <v>2</v>
      </c>
      <c r="D627" s="32">
        <v>601.71</v>
      </c>
      <c r="E627" s="90" t="s">
        <v>632</v>
      </c>
    </row>
    <row r="628" spans="3:5" x14ac:dyDescent="0.25">
      <c r="C628" s="92">
        <v>2</v>
      </c>
      <c r="D628" s="32">
        <v>601.72</v>
      </c>
      <c r="E628" s="90" t="s">
        <v>633</v>
      </c>
    </row>
    <row r="629" spans="3:5" x14ac:dyDescent="0.25">
      <c r="C629" s="92">
        <v>2</v>
      </c>
      <c r="D629" s="32">
        <v>601.73</v>
      </c>
      <c r="E629" s="90" t="s">
        <v>634</v>
      </c>
    </row>
    <row r="630" spans="3:5" x14ac:dyDescent="0.25">
      <c r="C630" s="92">
        <v>2</v>
      </c>
      <c r="D630" s="32">
        <v>601.74</v>
      </c>
      <c r="E630" s="90" t="s">
        <v>635</v>
      </c>
    </row>
    <row r="631" spans="3:5" x14ac:dyDescent="0.25">
      <c r="C631" s="92">
        <v>2</v>
      </c>
      <c r="D631" s="32">
        <v>601.75</v>
      </c>
      <c r="E631" s="90" t="s">
        <v>636</v>
      </c>
    </row>
    <row r="632" spans="3:5" x14ac:dyDescent="0.25">
      <c r="C632" s="92">
        <v>2</v>
      </c>
      <c r="D632" s="32">
        <v>601.76</v>
      </c>
      <c r="E632" s="90" t="s">
        <v>637</v>
      </c>
    </row>
    <row r="633" spans="3:5" x14ac:dyDescent="0.25">
      <c r="C633" s="92">
        <v>2</v>
      </c>
      <c r="D633" s="32">
        <v>601.77</v>
      </c>
      <c r="E633" s="90" t="s">
        <v>638</v>
      </c>
    </row>
    <row r="634" spans="3:5" x14ac:dyDescent="0.25">
      <c r="C634" s="92">
        <v>2</v>
      </c>
      <c r="D634" s="32">
        <v>601.78</v>
      </c>
      <c r="E634" s="90" t="s">
        <v>639</v>
      </c>
    </row>
    <row r="635" spans="3:5" x14ac:dyDescent="0.25">
      <c r="C635" s="92">
        <v>2</v>
      </c>
      <c r="D635" s="32">
        <v>601.79</v>
      </c>
      <c r="E635" s="90" t="s">
        <v>640</v>
      </c>
    </row>
    <row r="636" spans="3:5" x14ac:dyDescent="0.25">
      <c r="C636" s="92">
        <v>2</v>
      </c>
      <c r="D636" s="32">
        <v>601.79999999999995</v>
      </c>
      <c r="E636" s="90" t="s">
        <v>641</v>
      </c>
    </row>
    <row r="637" spans="3:5" x14ac:dyDescent="0.25">
      <c r="C637" s="92">
        <v>2</v>
      </c>
      <c r="D637" s="32">
        <v>601.80999999999995</v>
      </c>
      <c r="E637" s="90" t="s">
        <v>642</v>
      </c>
    </row>
    <row r="638" spans="3:5" x14ac:dyDescent="0.25">
      <c r="C638" s="92">
        <v>2</v>
      </c>
      <c r="D638" s="32">
        <v>601.82000000000005</v>
      </c>
      <c r="E638" s="90" t="s">
        <v>643</v>
      </c>
    </row>
    <row r="639" spans="3:5" x14ac:dyDescent="0.25">
      <c r="C639" s="92">
        <v>2</v>
      </c>
      <c r="D639" s="32">
        <v>601.83000000000004</v>
      </c>
      <c r="E639" s="90" t="s">
        <v>644</v>
      </c>
    </row>
    <row r="640" spans="3:5" x14ac:dyDescent="0.25">
      <c r="C640" s="92">
        <v>2</v>
      </c>
      <c r="D640" s="32">
        <v>601.84</v>
      </c>
      <c r="E640" s="90" t="s">
        <v>645</v>
      </c>
    </row>
    <row r="641" spans="3:5" x14ac:dyDescent="0.25">
      <c r="C641" s="91">
        <v>1</v>
      </c>
      <c r="D641" s="32">
        <v>602</v>
      </c>
      <c r="E641" s="97" t="s">
        <v>646</v>
      </c>
    </row>
    <row r="642" spans="3:5" x14ac:dyDescent="0.25">
      <c r="C642" s="92">
        <v>2</v>
      </c>
      <c r="D642" s="32">
        <v>602.01</v>
      </c>
      <c r="E642" s="90" t="s">
        <v>562</v>
      </c>
    </row>
    <row r="643" spans="3:5" x14ac:dyDescent="0.25">
      <c r="C643" s="92">
        <v>2</v>
      </c>
      <c r="D643" s="32">
        <v>602.02</v>
      </c>
      <c r="E643" s="90" t="s">
        <v>563</v>
      </c>
    </row>
    <row r="644" spans="3:5" x14ac:dyDescent="0.25">
      <c r="C644" s="92">
        <v>2</v>
      </c>
      <c r="D644" s="32">
        <v>602.03</v>
      </c>
      <c r="E644" s="90" t="s">
        <v>564</v>
      </c>
    </row>
    <row r="645" spans="3:5" x14ac:dyDescent="0.25">
      <c r="C645" s="92">
        <v>2</v>
      </c>
      <c r="D645" s="32">
        <v>602.04</v>
      </c>
      <c r="E645" s="90" t="s">
        <v>565</v>
      </c>
    </row>
    <row r="646" spans="3:5" x14ac:dyDescent="0.25">
      <c r="C646" s="92">
        <v>2</v>
      </c>
      <c r="D646" s="32">
        <v>602.04999999999995</v>
      </c>
      <c r="E646" s="90" t="s">
        <v>566</v>
      </c>
    </row>
    <row r="647" spans="3:5" x14ac:dyDescent="0.25">
      <c r="C647" s="92">
        <v>2</v>
      </c>
      <c r="D647" s="32">
        <v>602.05999999999995</v>
      </c>
      <c r="E647" s="90" t="s">
        <v>567</v>
      </c>
    </row>
    <row r="648" spans="3:5" x14ac:dyDescent="0.25">
      <c r="C648" s="92">
        <v>2</v>
      </c>
      <c r="D648" s="32">
        <v>602.07000000000005</v>
      </c>
      <c r="E648" s="90" t="s">
        <v>568</v>
      </c>
    </row>
    <row r="649" spans="3:5" x14ac:dyDescent="0.25">
      <c r="C649" s="92">
        <v>2</v>
      </c>
      <c r="D649" s="32">
        <v>602.08000000000004</v>
      </c>
      <c r="E649" s="90" t="s">
        <v>569</v>
      </c>
    </row>
    <row r="650" spans="3:5" x14ac:dyDescent="0.25">
      <c r="C650" s="92">
        <v>2</v>
      </c>
      <c r="D650" s="32">
        <v>602.09</v>
      </c>
      <c r="E650" s="90" t="s">
        <v>570</v>
      </c>
    </row>
    <row r="651" spans="3:5" x14ac:dyDescent="0.25">
      <c r="C651" s="92">
        <v>2</v>
      </c>
      <c r="D651" s="32">
        <v>602.1</v>
      </c>
      <c r="E651" s="90" t="s">
        <v>571</v>
      </c>
    </row>
    <row r="652" spans="3:5" x14ac:dyDescent="0.25">
      <c r="C652" s="92">
        <v>2</v>
      </c>
      <c r="D652" s="32">
        <v>602.11</v>
      </c>
      <c r="E652" s="90" t="s">
        <v>572</v>
      </c>
    </row>
    <row r="653" spans="3:5" x14ac:dyDescent="0.25">
      <c r="C653" s="92">
        <v>2</v>
      </c>
      <c r="D653" s="32">
        <v>602.12</v>
      </c>
      <c r="E653" s="90" t="s">
        <v>573</v>
      </c>
    </row>
    <row r="654" spans="3:5" x14ac:dyDescent="0.25">
      <c r="C654" s="92">
        <v>2</v>
      </c>
      <c r="D654" s="32">
        <v>602.13</v>
      </c>
      <c r="E654" s="90" t="s">
        <v>574</v>
      </c>
    </row>
    <row r="655" spans="3:5" x14ac:dyDescent="0.25">
      <c r="C655" s="92">
        <v>2</v>
      </c>
      <c r="D655" s="32">
        <v>602.14</v>
      </c>
      <c r="E655" s="90" t="s">
        <v>575</v>
      </c>
    </row>
    <row r="656" spans="3:5" x14ac:dyDescent="0.25">
      <c r="C656" s="92">
        <v>2</v>
      </c>
      <c r="D656" s="32">
        <v>602.15</v>
      </c>
      <c r="E656" s="90" t="s">
        <v>576</v>
      </c>
    </row>
    <row r="657" spans="3:5" x14ac:dyDescent="0.25">
      <c r="C657" s="92">
        <v>2</v>
      </c>
      <c r="D657" s="32">
        <v>602.16</v>
      </c>
      <c r="E657" s="90" t="s">
        <v>577</v>
      </c>
    </row>
    <row r="658" spans="3:5" x14ac:dyDescent="0.25">
      <c r="C658" s="92">
        <v>2</v>
      </c>
      <c r="D658" s="32">
        <v>602.16999999999996</v>
      </c>
      <c r="E658" s="90" t="s">
        <v>578</v>
      </c>
    </row>
    <row r="659" spans="3:5" x14ac:dyDescent="0.25">
      <c r="C659" s="92">
        <v>2</v>
      </c>
      <c r="D659" s="32">
        <v>602.17999999999995</v>
      </c>
      <c r="E659" s="90" t="s">
        <v>579</v>
      </c>
    </row>
    <row r="660" spans="3:5" x14ac:dyDescent="0.25">
      <c r="C660" s="92">
        <v>2</v>
      </c>
      <c r="D660" s="32">
        <v>602.19000000000005</v>
      </c>
      <c r="E660" s="90" t="s">
        <v>580</v>
      </c>
    </row>
    <row r="661" spans="3:5" x14ac:dyDescent="0.25">
      <c r="C661" s="92">
        <v>2</v>
      </c>
      <c r="D661" s="32">
        <v>602.20000000000005</v>
      </c>
      <c r="E661" s="90" t="s">
        <v>581</v>
      </c>
    </row>
    <row r="662" spans="3:5" x14ac:dyDescent="0.25">
      <c r="C662" s="92">
        <v>2</v>
      </c>
      <c r="D662" s="32">
        <v>602.21</v>
      </c>
      <c r="E662" s="90" t="s">
        <v>582</v>
      </c>
    </row>
    <row r="663" spans="3:5" x14ac:dyDescent="0.25">
      <c r="C663" s="92">
        <v>2</v>
      </c>
      <c r="D663" s="32">
        <v>602.22</v>
      </c>
      <c r="E663" s="90" t="s">
        <v>583</v>
      </c>
    </row>
    <row r="664" spans="3:5" x14ac:dyDescent="0.25">
      <c r="C664" s="92">
        <v>2</v>
      </c>
      <c r="D664" s="32">
        <v>602.23</v>
      </c>
      <c r="E664" s="90" t="s">
        <v>584</v>
      </c>
    </row>
    <row r="665" spans="3:5" x14ac:dyDescent="0.25">
      <c r="C665" s="92">
        <v>2</v>
      </c>
      <c r="D665" s="32">
        <v>602.24</v>
      </c>
      <c r="E665" s="90" t="s">
        <v>585</v>
      </c>
    </row>
    <row r="666" spans="3:5" x14ac:dyDescent="0.25">
      <c r="C666" s="92">
        <v>2</v>
      </c>
      <c r="D666" s="32">
        <v>602.25</v>
      </c>
      <c r="E666" s="90" t="s">
        <v>586</v>
      </c>
    </row>
    <row r="667" spans="3:5" x14ac:dyDescent="0.25">
      <c r="C667" s="92">
        <v>2</v>
      </c>
      <c r="D667" s="32">
        <v>602.26</v>
      </c>
      <c r="E667" s="90" t="s">
        <v>587</v>
      </c>
    </row>
    <row r="668" spans="3:5" x14ac:dyDescent="0.25">
      <c r="C668" s="92">
        <v>2</v>
      </c>
      <c r="D668" s="32">
        <v>602.27</v>
      </c>
      <c r="E668" s="90" t="s">
        <v>588</v>
      </c>
    </row>
    <row r="669" spans="3:5" x14ac:dyDescent="0.25">
      <c r="C669" s="92">
        <v>2</v>
      </c>
      <c r="D669" s="32">
        <v>602.28</v>
      </c>
      <c r="E669" s="90" t="s">
        <v>589</v>
      </c>
    </row>
    <row r="670" spans="3:5" x14ac:dyDescent="0.25">
      <c r="C670" s="92">
        <v>2</v>
      </c>
      <c r="D670" s="32">
        <v>602.29</v>
      </c>
      <c r="E670" s="90" t="s">
        <v>590</v>
      </c>
    </row>
    <row r="671" spans="3:5" x14ac:dyDescent="0.25">
      <c r="C671" s="92">
        <v>2</v>
      </c>
      <c r="D671" s="32">
        <v>602.29999999999995</v>
      </c>
      <c r="E671" s="90" t="s">
        <v>591</v>
      </c>
    </row>
    <row r="672" spans="3:5" x14ac:dyDescent="0.25">
      <c r="C672" s="92">
        <v>2</v>
      </c>
      <c r="D672" s="32">
        <v>602.30999999999995</v>
      </c>
      <c r="E672" s="90" t="s">
        <v>592</v>
      </c>
    </row>
    <row r="673" spans="3:5" x14ac:dyDescent="0.25">
      <c r="C673" s="92">
        <v>2</v>
      </c>
      <c r="D673" s="32">
        <v>602.32000000000005</v>
      </c>
      <c r="E673" s="90" t="s">
        <v>593</v>
      </c>
    </row>
    <row r="674" spans="3:5" x14ac:dyDescent="0.25">
      <c r="C674" s="92">
        <v>2</v>
      </c>
      <c r="D674" s="32">
        <v>602.33000000000004</v>
      </c>
      <c r="E674" s="90" t="s">
        <v>594</v>
      </c>
    </row>
    <row r="675" spans="3:5" x14ac:dyDescent="0.25">
      <c r="C675" s="92">
        <v>2</v>
      </c>
      <c r="D675" s="32">
        <v>602.34</v>
      </c>
      <c r="E675" s="90" t="s">
        <v>595</v>
      </c>
    </row>
    <row r="676" spans="3:5" x14ac:dyDescent="0.25">
      <c r="C676" s="92">
        <v>2</v>
      </c>
      <c r="D676" s="32">
        <v>602.35</v>
      </c>
      <c r="E676" s="90" t="s">
        <v>596</v>
      </c>
    </row>
    <row r="677" spans="3:5" x14ac:dyDescent="0.25">
      <c r="C677" s="92">
        <v>2</v>
      </c>
      <c r="D677" s="32">
        <v>602.36</v>
      </c>
      <c r="E677" s="90" t="s">
        <v>597</v>
      </c>
    </row>
    <row r="678" spans="3:5" x14ac:dyDescent="0.25">
      <c r="C678" s="92">
        <v>2</v>
      </c>
      <c r="D678" s="32">
        <v>602.37</v>
      </c>
      <c r="E678" s="90" t="s">
        <v>598</v>
      </c>
    </row>
    <row r="679" spans="3:5" x14ac:dyDescent="0.25">
      <c r="C679" s="92">
        <v>2</v>
      </c>
      <c r="D679" s="32">
        <v>602.38</v>
      </c>
      <c r="E679" s="90" t="s">
        <v>599</v>
      </c>
    </row>
    <row r="680" spans="3:5" x14ac:dyDescent="0.25">
      <c r="C680" s="92">
        <v>2</v>
      </c>
      <c r="D680" s="32">
        <v>602.39</v>
      </c>
      <c r="E680" s="90" t="s">
        <v>600</v>
      </c>
    </row>
    <row r="681" spans="3:5" x14ac:dyDescent="0.25">
      <c r="C681" s="92">
        <v>2</v>
      </c>
      <c r="D681" s="32">
        <v>602.4</v>
      </c>
      <c r="E681" s="90" t="s">
        <v>601</v>
      </c>
    </row>
    <row r="682" spans="3:5" x14ac:dyDescent="0.25">
      <c r="C682" s="92">
        <v>2</v>
      </c>
      <c r="D682" s="32">
        <v>602.41</v>
      </c>
      <c r="E682" s="90" t="s">
        <v>602</v>
      </c>
    </row>
    <row r="683" spans="3:5" x14ac:dyDescent="0.25">
      <c r="C683" s="92">
        <v>2</v>
      </c>
      <c r="D683" s="32">
        <v>602.41999999999996</v>
      </c>
      <c r="E683" s="90" t="s">
        <v>603</v>
      </c>
    </row>
    <row r="684" spans="3:5" x14ac:dyDescent="0.25">
      <c r="C684" s="92">
        <v>2</v>
      </c>
      <c r="D684" s="32">
        <v>602.42999999999995</v>
      </c>
      <c r="E684" s="90" t="s">
        <v>604</v>
      </c>
    </row>
    <row r="685" spans="3:5" x14ac:dyDescent="0.25">
      <c r="C685" s="92">
        <v>2</v>
      </c>
      <c r="D685" s="32">
        <v>602.44000000000005</v>
      </c>
      <c r="E685" s="90" t="s">
        <v>605</v>
      </c>
    </row>
    <row r="686" spans="3:5" x14ac:dyDescent="0.25">
      <c r="C686" s="92">
        <v>2</v>
      </c>
      <c r="D686" s="32">
        <v>602.45000000000005</v>
      </c>
      <c r="E686" s="90" t="s">
        <v>606</v>
      </c>
    </row>
    <row r="687" spans="3:5" x14ac:dyDescent="0.25">
      <c r="C687" s="92">
        <v>2</v>
      </c>
      <c r="D687" s="32">
        <v>602.46</v>
      </c>
      <c r="E687" s="90" t="s">
        <v>607</v>
      </c>
    </row>
    <row r="688" spans="3:5" x14ac:dyDescent="0.25">
      <c r="C688" s="92">
        <v>2</v>
      </c>
      <c r="D688" s="32">
        <v>602.47</v>
      </c>
      <c r="E688" s="90" t="s">
        <v>608</v>
      </c>
    </row>
    <row r="689" spans="3:5" x14ac:dyDescent="0.25">
      <c r="C689" s="92">
        <v>2</v>
      </c>
      <c r="D689" s="32">
        <v>602.48</v>
      </c>
      <c r="E689" s="90" t="s">
        <v>609</v>
      </c>
    </row>
    <row r="690" spans="3:5" x14ac:dyDescent="0.25">
      <c r="C690" s="92">
        <v>2</v>
      </c>
      <c r="D690" s="32">
        <v>602.49</v>
      </c>
      <c r="E690" s="90" t="s">
        <v>610</v>
      </c>
    </row>
    <row r="691" spans="3:5" x14ac:dyDescent="0.25">
      <c r="C691" s="92">
        <v>2</v>
      </c>
      <c r="D691" s="32">
        <v>602.5</v>
      </c>
      <c r="E691" s="90" t="s">
        <v>611</v>
      </c>
    </row>
    <row r="692" spans="3:5" x14ac:dyDescent="0.25">
      <c r="C692" s="92">
        <v>2</v>
      </c>
      <c r="D692" s="32">
        <v>602.51</v>
      </c>
      <c r="E692" s="90" t="s">
        <v>612</v>
      </c>
    </row>
    <row r="693" spans="3:5" x14ac:dyDescent="0.25">
      <c r="C693" s="92">
        <v>2</v>
      </c>
      <c r="D693" s="32">
        <v>602.52</v>
      </c>
      <c r="E693" s="90" t="s">
        <v>613</v>
      </c>
    </row>
    <row r="694" spans="3:5" x14ac:dyDescent="0.25">
      <c r="C694" s="92">
        <v>2</v>
      </c>
      <c r="D694" s="32">
        <v>602.53</v>
      </c>
      <c r="E694" s="90" t="s">
        <v>614</v>
      </c>
    </row>
    <row r="695" spans="3:5" x14ac:dyDescent="0.25">
      <c r="C695" s="92">
        <v>2</v>
      </c>
      <c r="D695" s="32">
        <v>602.54</v>
      </c>
      <c r="E695" s="90" t="s">
        <v>615</v>
      </c>
    </row>
    <row r="696" spans="3:5" x14ac:dyDescent="0.25">
      <c r="C696" s="92">
        <v>2</v>
      </c>
      <c r="D696" s="32">
        <v>602.54999999999995</v>
      </c>
      <c r="E696" s="90" t="s">
        <v>616</v>
      </c>
    </row>
    <row r="697" spans="3:5" x14ac:dyDescent="0.25">
      <c r="C697" s="92">
        <v>2</v>
      </c>
      <c r="D697" s="32">
        <v>602.55999999999995</v>
      </c>
      <c r="E697" s="90" t="s">
        <v>617</v>
      </c>
    </row>
    <row r="698" spans="3:5" x14ac:dyDescent="0.25">
      <c r="C698" s="92">
        <v>2</v>
      </c>
      <c r="D698" s="32">
        <v>602.57000000000005</v>
      </c>
      <c r="E698" s="90" t="s">
        <v>618</v>
      </c>
    </row>
    <row r="699" spans="3:5" x14ac:dyDescent="0.25">
      <c r="C699" s="92">
        <v>2</v>
      </c>
      <c r="D699" s="32">
        <v>602.58000000000004</v>
      </c>
      <c r="E699" s="90" t="s">
        <v>619</v>
      </c>
    </row>
    <row r="700" spans="3:5" x14ac:dyDescent="0.25">
      <c r="C700" s="92">
        <v>2</v>
      </c>
      <c r="D700" s="32">
        <v>602.59</v>
      </c>
      <c r="E700" s="90" t="s">
        <v>620</v>
      </c>
    </row>
    <row r="701" spans="3:5" x14ac:dyDescent="0.25">
      <c r="C701" s="92">
        <v>2</v>
      </c>
      <c r="D701" s="32">
        <v>602.6</v>
      </c>
      <c r="E701" s="90" t="s">
        <v>621</v>
      </c>
    </row>
    <row r="702" spans="3:5" x14ac:dyDescent="0.25">
      <c r="C702" s="92">
        <v>2</v>
      </c>
      <c r="D702" s="32">
        <v>602.61</v>
      </c>
      <c r="E702" s="90" t="s">
        <v>622</v>
      </c>
    </row>
    <row r="703" spans="3:5" x14ac:dyDescent="0.25">
      <c r="C703" s="92">
        <v>2</v>
      </c>
      <c r="D703" s="32">
        <v>602.62</v>
      </c>
      <c r="E703" s="90" t="s">
        <v>623</v>
      </c>
    </row>
    <row r="704" spans="3:5" x14ac:dyDescent="0.25">
      <c r="C704" s="92">
        <v>2</v>
      </c>
      <c r="D704" s="32">
        <v>602.63</v>
      </c>
      <c r="E704" s="90" t="s">
        <v>624</v>
      </c>
    </row>
    <row r="705" spans="3:5" x14ac:dyDescent="0.25">
      <c r="C705" s="92">
        <v>2</v>
      </c>
      <c r="D705" s="32">
        <v>602.64</v>
      </c>
      <c r="E705" s="90" t="s">
        <v>625</v>
      </c>
    </row>
    <row r="706" spans="3:5" x14ac:dyDescent="0.25">
      <c r="C706" s="92">
        <v>2</v>
      </c>
      <c r="D706" s="32">
        <v>602.65</v>
      </c>
      <c r="E706" s="90" t="s">
        <v>626</v>
      </c>
    </row>
    <row r="707" spans="3:5" x14ac:dyDescent="0.25">
      <c r="C707" s="92">
        <v>2</v>
      </c>
      <c r="D707" s="32">
        <v>602.66</v>
      </c>
      <c r="E707" s="90" t="s">
        <v>627</v>
      </c>
    </row>
    <row r="708" spans="3:5" x14ac:dyDescent="0.25">
      <c r="C708" s="92">
        <v>2</v>
      </c>
      <c r="D708" s="32">
        <v>602.66999999999996</v>
      </c>
      <c r="E708" s="90" t="s">
        <v>628</v>
      </c>
    </row>
    <row r="709" spans="3:5" x14ac:dyDescent="0.25">
      <c r="C709" s="92">
        <v>2</v>
      </c>
      <c r="D709" s="32">
        <v>602.67999999999995</v>
      </c>
      <c r="E709" s="90" t="s">
        <v>629</v>
      </c>
    </row>
    <row r="710" spans="3:5" x14ac:dyDescent="0.25">
      <c r="C710" s="92">
        <v>2</v>
      </c>
      <c r="D710" s="32">
        <v>602.69000000000005</v>
      </c>
      <c r="E710" s="90" t="s">
        <v>630</v>
      </c>
    </row>
    <row r="711" spans="3:5" x14ac:dyDescent="0.25">
      <c r="C711" s="92">
        <v>2</v>
      </c>
      <c r="D711" s="32">
        <v>602.70000000000005</v>
      </c>
      <c r="E711" s="90" t="s">
        <v>631</v>
      </c>
    </row>
    <row r="712" spans="3:5" x14ac:dyDescent="0.25">
      <c r="C712" s="92">
        <v>2</v>
      </c>
      <c r="D712" s="32">
        <v>602.71</v>
      </c>
      <c r="E712" s="90" t="s">
        <v>632</v>
      </c>
    </row>
    <row r="713" spans="3:5" x14ac:dyDescent="0.25">
      <c r="C713" s="92">
        <v>2</v>
      </c>
      <c r="D713" s="32">
        <v>602.72</v>
      </c>
      <c r="E713" s="90" t="s">
        <v>633</v>
      </c>
    </row>
    <row r="714" spans="3:5" x14ac:dyDescent="0.25">
      <c r="C714" s="92">
        <v>2</v>
      </c>
      <c r="D714" s="32">
        <v>602.73</v>
      </c>
      <c r="E714" s="90" t="s">
        <v>634</v>
      </c>
    </row>
    <row r="715" spans="3:5" x14ac:dyDescent="0.25">
      <c r="C715" s="92">
        <v>2</v>
      </c>
      <c r="D715" s="32">
        <v>602.74</v>
      </c>
      <c r="E715" s="90" t="s">
        <v>635</v>
      </c>
    </row>
    <row r="716" spans="3:5" x14ac:dyDescent="0.25">
      <c r="C716" s="92">
        <v>2</v>
      </c>
      <c r="D716" s="32">
        <v>602.75</v>
      </c>
      <c r="E716" s="90" t="s">
        <v>636</v>
      </c>
    </row>
    <row r="717" spans="3:5" x14ac:dyDescent="0.25">
      <c r="C717" s="92">
        <v>2</v>
      </c>
      <c r="D717" s="32">
        <v>602.76</v>
      </c>
      <c r="E717" s="90" t="s">
        <v>637</v>
      </c>
    </row>
    <row r="718" spans="3:5" x14ac:dyDescent="0.25">
      <c r="C718" s="92">
        <v>2</v>
      </c>
      <c r="D718" s="32">
        <v>602.77</v>
      </c>
      <c r="E718" s="90" t="s">
        <v>638</v>
      </c>
    </row>
    <row r="719" spans="3:5" x14ac:dyDescent="0.25">
      <c r="C719" s="92">
        <v>2</v>
      </c>
      <c r="D719" s="32">
        <v>602.78</v>
      </c>
      <c r="E719" s="90" t="s">
        <v>639</v>
      </c>
    </row>
    <row r="720" spans="3:5" x14ac:dyDescent="0.25">
      <c r="C720" s="92">
        <v>2</v>
      </c>
      <c r="D720" s="32">
        <v>602.79</v>
      </c>
      <c r="E720" s="90" t="s">
        <v>647</v>
      </c>
    </row>
    <row r="721" spans="3:5" x14ac:dyDescent="0.25">
      <c r="C721" s="92">
        <v>2</v>
      </c>
      <c r="D721" s="32">
        <v>602.79999999999995</v>
      </c>
      <c r="E721" s="90" t="s">
        <v>648</v>
      </c>
    </row>
    <row r="722" spans="3:5" x14ac:dyDescent="0.25">
      <c r="C722" s="92">
        <v>2</v>
      </c>
      <c r="D722" s="32">
        <v>602.80999999999995</v>
      </c>
      <c r="E722" s="90" t="s">
        <v>642</v>
      </c>
    </row>
    <row r="723" spans="3:5" x14ac:dyDescent="0.25">
      <c r="C723" s="92">
        <v>2</v>
      </c>
      <c r="D723" s="32">
        <v>602.82000000000005</v>
      </c>
      <c r="E723" s="90" t="s">
        <v>643</v>
      </c>
    </row>
    <row r="724" spans="3:5" x14ac:dyDescent="0.25">
      <c r="C724" s="92">
        <v>2</v>
      </c>
      <c r="D724" s="32">
        <v>602.83000000000004</v>
      </c>
      <c r="E724" s="90" t="s">
        <v>644</v>
      </c>
    </row>
    <row r="725" spans="3:5" x14ac:dyDescent="0.25">
      <c r="C725" s="92">
        <v>2</v>
      </c>
      <c r="D725" s="32">
        <v>602.84</v>
      </c>
      <c r="E725" s="90" t="s">
        <v>649</v>
      </c>
    </row>
    <row r="726" spans="3:5" x14ac:dyDescent="0.25">
      <c r="C726" s="91">
        <v>1</v>
      </c>
      <c r="D726" s="32">
        <v>603</v>
      </c>
      <c r="E726" s="97" t="s">
        <v>650</v>
      </c>
    </row>
    <row r="727" spans="3:5" x14ac:dyDescent="0.25">
      <c r="C727" s="92">
        <v>2</v>
      </c>
      <c r="D727" s="32">
        <v>603.01</v>
      </c>
      <c r="E727" s="90" t="s">
        <v>562</v>
      </c>
    </row>
    <row r="728" spans="3:5" x14ac:dyDescent="0.25">
      <c r="C728" s="92">
        <v>2</v>
      </c>
      <c r="D728" s="32">
        <v>603.02</v>
      </c>
      <c r="E728" s="90" t="s">
        <v>563</v>
      </c>
    </row>
    <row r="729" spans="3:5" x14ac:dyDescent="0.25">
      <c r="C729" s="92">
        <v>2</v>
      </c>
      <c r="D729" s="32">
        <v>603.03</v>
      </c>
      <c r="E729" s="90" t="s">
        <v>564</v>
      </c>
    </row>
    <row r="730" spans="3:5" x14ac:dyDescent="0.25">
      <c r="C730" s="92">
        <v>2</v>
      </c>
      <c r="D730" s="32">
        <v>603.04</v>
      </c>
      <c r="E730" s="90" t="s">
        <v>565</v>
      </c>
    </row>
    <row r="731" spans="3:5" x14ac:dyDescent="0.25">
      <c r="C731" s="92">
        <v>2</v>
      </c>
      <c r="D731" s="32">
        <v>603.04999999999995</v>
      </c>
      <c r="E731" s="90" t="s">
        <v>566</v>
      </c>
    </row>
    <row r="732" spans="3:5" x14ac:dyDescent="0.25">
      <c r="C732" s="92">
        <v>2</v>
      </c>
      <c r="D732" s="32">
        <v>603.05999999999995</v>
      </c>
      <c r="E732" s="90" t="s">
        <v>567</v>
      </c>
    </row>
    <row r="733" spans="3:5" x14ac:dyDescent="0.25">
      <c r="C733" s="92">
        <v>2</v>
      </c>
      <c r="D733" s="32">
        <v>603.07000000000005</v>
      </c>
      <c r="E733" s="90" t="s">
        <v>568</v>
      </c>
    </row>
    <row r="734" spans="3:5" x14ac:dyDescent="0.25">
      <c r="C734" s="92">
        <v>2</v>
      </c>
      <c r="D734" s="32">
        <v>603.08000000000004</v>
      </c>
      <c r="E734" s="90" t="s">
        <v>569</v>
      </c>
    </row>
    <row r="735" spans="3:5" x14ac:dyDescent="0.25">
      <c r="C735" s="92">
        <v>2</v>
      </c>
      <c r="D735" s="32">
        <v>603.09</v>
      </c>
      <c r="E735" s="90" t="s">
        <v>570</v>
      </c>
    </row>
    <row r="736" spans="3:5" x14ac:dyDescent="0.25">
      <c r="C736" s="92">
        <v>2</v>
      </c>
      <c r="D736" s="32">
        <v>603.1</v>
      </c>
      <c r="E736" s="90" t="s">
        <v>571</v>
      </c>
    </row>
    <row r="737" spans="3:5" x14ac:dyDescent="0.25">
      <c r="C737" s="92">
        <v>2</v>
      </c>
      <c r="D737" s="32">
        <v>603.11</v>
      </c>
      <c r="E737" s="90" t="s">
        <v>572</v>
      </c>
    </row>
    <row r="738" spans="3:5" x14ac:dyDescent="0.25">
      <c r="C738" s="92">
        <v>2</v>
      </c>
      <c r="D738" s="32">
        <v>603.12</v>
      </c>
      <c r="E738" s="90" t="s">
        <v>573</v>
      </c>
    </row>
    <row r="739" spans="3:5" x14ac:dyDescent="0.25">
      <c r="C739" s="92">
        <v>2</v>
      </c>
      <c r="D739" s="32">
        <v>603.13</v>
      </c>
      <c r="E739" s="90" t="s">
        <v>574</v>
      </c>
    </row>
    <row r="740" spans="3:5" x14ac:dyDescent="0.25">
      <c r="C740" s="92">
        <v>2</v>
      </c>
      <c r="D740" s="32">
        <v>603.14</v>
      </c>
      <c r="E740" s="90" t="s">
        <v>575</v>
      </c>
    </row>
    <row r="741" spans="3:5" x14ac:dyDescent="0.25">
      <c r="C741" s="92">
        <v>2</v>
      </c>
      <c r="D741" s="32">
        <v>603.15</v>
      </c>
      <c r="E741" s="90" t="s">
        <v>576</v>
      </c>
    </row>
    <row r="742" spans="3:5" x14ac:dyDescent="0.25">
      <c r="C742" s="92">
        <v>2</v>
      </c>
      <c r="D742" s="32">
        <v>603.16</v>
      </c>
      <c r="E742" s="90" t="s">
        <v>577</v>
      </c>
    </row>
    <row r="743" spans="3:5" x14ac:dyDescent="0.25">
      <c r="C743" s="92">
        <v>2</v>
      </c>
      <c r="D743" s="32">
        <v>603.16999999999996</v>
      </c>
      <c r="E743" s="90" t="s">
        <v>578</v>
      </c>
    </row>
    <row r="744" spans="3:5" x14ac:dyDescent="0.25">
      <c r="C744" s="92">
        <v>2</v>
      </c>
      <c r="D744" s="32">
        <v>603.17999999999995</v>
      </c>
      <c r="E744" s="90" t="s">
        <v>579</v>
      </c>
    </row>
    <row r="745" spans="3:5" x14ac:dyDescent="0.25">
      <c r="C745" s="92">
        <v>2</v>
      </c>
      <c r="D745" s="32">
        <v>603.19000000000005</v>
      </c>
      <c r="E745" s="90" t="s">
        <v>580</v>
      </c>
    </row>
    <row r="746" spans="3:5" x14ac:dyDescent="0.25">
      <c r="C746" s="92">
        <v>2</v>
      </c>
      <c r="D746" s="32">
        <v>603.20000000000005</v>
      </c>
      <c r="E746" s="90" t="s">
        <v>581</v>
      </c>
    </row>
    <row r="747" spans="3:5" x14ac:dyDescent="0.25">
      <c r="C747" s="92">
        <v>2</v>
      </c>
      <c r="D747" s="32">
        <v>603.21</v>
      </c>
      <c r="E747" s="90" t="s">
        <v>582</v>
      </c>
    </row>
    <row r="748" spans="3:5" x14ac:dyDescent="0.25">
      <c r="C748" s="92">
        <v>2</v>
      </c>
      <c r="D748" s="32">
        <v>603.22</v>
      </c>
      <c r="E748" s="90" t="s">
        <v>583</v>
      </c>
    </row>
    <row r="749" spans="3:5" x14ac:dyDescent="0.25">
      <c r="C749" s="92">
        <v>2</v>
      </c>
      <c r="D749" s="32">
        <v>603.23</v>
      </c>
      <c r="E749" s="90" t="s">
        <v>584</v>
      </c>
    </row>
    <row r="750" spans="3:5" x14ac:dyDescent="0.25">
      <c r="C750" s="92">
        <v>2</v>
      </c>
      <c r="D750" s="32">
        <v>603.24</v>
      </c>
      <c r="E750" s="90" t="s">
        <v>585</v>
      </c>
    </row>
    <row r="751" spans="3:5" x14ac:dyDescent="0.25">
      <c r="C751" s="92">
        <v>2</v>
      </c>
      <c r="D751" s="32">
        <v>603.25</v>
      </c>
      <c r="E751" s="90" t="s">
        <v>586</v>
      </c>
    </row>
    <row r="752" spans="3:5" x14ac:dyDescent="0.25">
      <c r="C752" s="92">
        <v>2</v>
      </c>
      <c r="D752" s="32">
        <v>603.26</v>
      </c>
      <c r="E752" s="90" t="s">
        <v>587</v>
      </c>
    </row>
    <row r="753" spans="3:5" x14ac:dyDescent="0.25">
      <c r="C753" s="92">
        <v>2</v>
      </c>
      <c r="D753" s="32">
        <v>603.27</v>
      </c>
      <c r="E753" s="90" t="s">
        <v>588</v>
      </c>
    </row>
    <row r="754" spans="3:5" x14ac:dyDescent="0.25">
      <c r="C754" s="92">
        <v>2</v>
      </c>
      <c r="D754" s="32">
        <v>603.28</v>
      </c>
      <c r="E754" s="90" t="s">
        <v>589</v>
      </c>
    </row>
    <row r="755" spans="3:5" x14ac:dyDescent="0.25">
      <c r="C755" s="92">
        <v>2</v>
      </c>
      <c r="D755" s="32">
        <v>603.29</v>
      </c>
      <c r="E755" s="90" t="s">
        <v>590</v>
      </c>
    </row>
    <row r="756" spans="3:5" x14ac:dyDescent="0.25">
      <c r="C756" s="92">
        <v>2</v>
      </c>
      <c r="D756" s="32">
        <v>603.29999999999995</v>
      </c>
      <c r="E756" s="90" t="s">
        <v>591</v>
      </c>
    </row>
    <row r="757" spans="3:5" x14ac:dyDescent="0.25">
      <c r="C757" s="92">
        <v>2</v>
      </c>
      <c r="D757" s="32">
        <v>603.30999999999995</v>
      </c>
      <c r="E757" s="90" t="s">
        <v>592</v>
      </c>
    </row>
    <row r="758" spans="3:5" x14ac:dyDescent="0.25">
      <c r="C758" s="92">
        <v>2</v>
      </c>
      <c r="D758" s="32">
        <v>603.32000000000005</v>
      </c>
      <c r="E758" s="90" t="s">
        <v>593</v>
      </c>
    </row>
    <row r="759" spans="3:5" x14ac:dyDescent="0.25">
      <c r="C759" s="92">
        <v>2</v>
      </c>
      <c r="D759" s="32">
        <v>603.33000000000004</v>
      </c>
      <c r="E759" s="90" t="s">
        <v>594</v>
      </c>
    </row>
    <row r="760" spans="3:5" x14ac:dyDescent="0.25">
      <c r="C760" s="92">
        <v>2</v>
      </c>
      <c r="D760" s="32">
        <v>603.34</v>
      </c>
      <c r="E760" s="90" t="s">
        <v>595</v>
      </c>
    </row>
    <row r="761" spans="3:5" x14ac:dyDescent="0.25">
      <c r="C761" s="92">
        <v>2</v>
      </c>
      <c r="D761" s="32">
        <v>603.35</v>
      </c>
      <c r="E761" s="90" t="s">
        <v>596</v>
      </c>
    </row>
    <row r="762" spans="3:5" x14ac:dyDescent="0.25">
      <c r="C762" s="92">
        <v>2</v>
      </c>
      <c r="D762" s="32">
        <v>603.36</v>
      </c>
      <c r="E762" s="90" t="s">
        <v>597</v>
      </c>
    </row>
    <row r="763" spans="3:5" x14ac:dyDescent="0.25">
      <c r="C763" s="92">
        <v>2</v>
      </c>
      <c r="D763" s="32">
        <v>603.37</v>
      </c>
      <c r="E763" s="90" t="s">
        <v>598</v>
      </c>
    </row>
    <row r="764" spans="3:5" x14ac:dyDescent="0.25">
      <c r="C764" s="92">
        <v>2</v>
      </c>
      <c r="D764" s="32">
        <v>603.38</v>
      </c>
      <c r="E764" s="90" t="s">
        <v>599</v>
      </c>
    </row>
    <row r="765" spans="3:5" x14ac:dyDescent="0.25">
      <c r="C765" s="92">
        <v>2</v>
      </c>
      <c r="D765" s="32">
        <v>603.39</v>
      </c>
      <c r="E765" s="90" t="s">
        <v>600</v>
      </c>
    </row>
    <row r="766" spans="3:5" x14ac:dyDescent="0.25">
      <c r="C766" s="92">
        <v>2</v>
      </c>
      <c r="D766" s="32">
        <v>603.4</v>
      </c>
      <c r="E766" s="90" t="s">
        <v>601</v>
      </c>
    </row>
    <row r="767" spans="3:5" x14ac:dyDescent="0.25">
      <c r="C767" s="92">
        <v>2</v>
      </c>
      <c r="D767" s="32">
        <v>603.41</v>
      </c>
      <c r="E767" s="90" t="s">
        <v>602</v>
      </c>
    </row>
    <row r="768" spans="3:5" x14ac:dyDescent="0.25">
      <c r="C768" s="92">
        <v>2</v>
      </c>
      <c r="D768" s="32">
        <v>603.41999999999996</v>
      </c>
      <c r="E768" s="90" t="s">
        <v>603</v>
      </c>
    </row>
    <row r="769" spans="3:5" x14ac:dyDescent="0.25">
      <c r="C769" s="92">
        <v>2</v>
      </c>
      <c r="D769" s="32">
        <v>603.42999999999995</v>
      </c>
      <c r="E769" s="90" t="s">
        <v>604</v>
      </c>
    </row>
    <row r="770" spans="3:5" x14ac:dyDescent="0.25">
      <c r="C770" s="92">
        <v>2</v>
      </c>
      <c r="D770" s="32">
        <v>603.44000000000005</v>
      </c>
      <c r="E770" s="90" t="s">
        <v>605</v>
      </c>
    </row>
    <row r="771" spans="3:5" x14ac:dyDescent="0.25">
      <c r="C771" s="92">
        <v>2</v>
      </c>
      <c r="D771" s="32">
        <v>603.45000000000005</v>
      </c>
      <c r="E771" s="90" t="s">
        <v>606</v>
      </c>
    </row>
    <row r="772" spans="3:5" x14ac:dyDescent="0.25">
      <c r="C772" s="92">
        <v>2</v>
      </c>
      <c r="D772" s="32">
        <v>603.46</v>
      </c>
      <c r="E772" s="90" t="s">
        <v>607</v>
      </c>
    </row>
    <row r="773" spans="3:5" x14ac:dyDescent="0.25">
      <c r="C773" s="92">
        <v>2</v>
      </c>
      <c r="D773" s="32">
        <v>603.47</v>
      </c>
      <c r="E773" s="90" t="s">
        <v>608</v>
      </c>
    </row>
    <row r="774" spans="3:5" x14ac:dyDescent="0.25">
      <c r="C774" s="92">
        <v>2</v>
      </c>
      <c r="D774" s="32">
        <v>603.48</v>
      </c>
      <c r="E774" s="90" t="s">
        <v>609</v>
      </c>
    </row>
    <row r="775" spans="3:5" x14ac:dyDescent="0.25">
      <c r="C775" s="92">
        <v>2</v>
      </c>
      <c r="D775" s="32">
        <v>603.49</v>
      </c>
      <c r="E775" s="90" t="s">
        <v>610</v>
      </c>
    </row>
    <row r="776" spans="3:5" x14ac:dyDescent="0.25">
      <c r="C776" s="92">
        <v>2</v>
      </c>
      <c r="D776" s="32">
        <v>603.5</v>
      </c>
      <c r="E776" s="90" t="s">
        <v>611</v>
      </c>
    </row>
    <row r="777" spans="3:5" x14ac:dyDescent="0.25">
      <c r="C777" s="92">
        <v>2</v>
      </c>
      <c r="D777" s="32">
        <v>603.51</v>
      </c>
      <c r="E777" s="90" t="s">
        <v>612</v>
      </c>
    </row>
    <row r="778" spans="3:5" x14ac:dyDescent="0.25">
      <c r="C778" s="92">
        <v>2</v>
      </c>
      <c r="D778" s="32">
        <v>603.52</v>
      </c>
      <c r="E778" s="90" t="s">
        <v>613</v>
      </c>
    </row>
    <row r="779" spans="3:5" x14ac:dyDescent="0.25">
      <c r="C779" s="92">
        <v>2</v>
      </c>
      <c r="D779" s="32">
        <v>603.53</v>
      </c>
      <c r="E779" s="90" t="s">
        <v>614</v>
      </c>
    </row>
    <row r="780" spans="3:5" x14ac:dyDescent="0.25">
      <c r="C780" s="92">
        <v>2</v>
      </c>
      <c r="D780" s="32">
        <v>603.54</v>
      </c>
      <c r="E780" s="90" t="s">
        <v>615</v>
      </c>
    </row>
    <row r="781" spans="3:5" x14ac:dyDescent="0.25">
      <c r="C781" s="92">
        <v>2</v>
      </c>
      <c r="D781" s="32">
        <v>603.54999999999995</v>
      </c>
      <c r="E781" s="90" t="s">
        <v>616</v>
      </c>
    </row>
    <row r="782" spans="3:5" x14ac:dyDescent="0.25">
      <c r="C782" s="92">
        <v>2</v>
      </c>
      <c r="D782" s="32">
        <v>603.55999999999995</v>
      </c>
      <c r="E782" s="90" t="s">
        <v>617</v>
      </c>
    </row>
    <row r="783" spans="3:5" x14ac:dyDescent="0.25">
      <c r="C783" s="92">
        <v>2</v>
      </c>
      <c r="D783" s="32">
        <v>603.57000000000005</v>
      </c>
      <c r="E783" s="90" t="s">
        <v>618</v>
      </c>
    </row>
    <row r="784" spans="3:5" x14ac:dyDescent="0.25">
      <c r="C784" s="92">
        <v>2</v>
      </c>
      <c r="D784" s="32">
        <v>603.58000000000004</v>
      </c>
      <c r="E784" s="90" t="s">
        <v>619</v>
      </c>
    </row>
    <row r="785" spans="3:5" x14ac:dyDescent="0.25">
      <c r="C785" s="92">
        <v>2</v>
      </c>
      <c r="D785" s="32">
        <v>603.59</v>
      </c>
      <c r="E785" s="90" t="s">
        <v>620</v>
      </c>
    </row>
    <row r="786" spans="3:5" x14ac:dyDescent="0.25">
      <c r="C786" s="92">
        <v>2</v>
      </c>
      <c r="D786" s="32">
        <v>603.6</v>
      </c>
      <c r="E786" s="90" t="s">
        <v>621</v>
      </c>
    </row>
    <row r="787" spans="3:5" x14ac:dyDescent="0.25">
      <c r="C787" s="92">
        <v>2</v>
      </c>
      <c r="D787" s="32">
        <v>603.61</v>
      </c>
      <c r="E787" s="90" t="s">
        <v>622</v>
      </c>
    </row>
    <row r="788" spans="3:5" x14ac:dyDescent="0.25">
      <c r="C788" s="92">
        <v>2</v>
      </c>
      <c r="D788" s="32">
        <v>603.62</v>
      </c>
      <c r="E788" s="90" t="s">
        <v>623</v>
      </c>
    </row>
    <row r="789" spans="3:5" x14ac:dyDescent="0.25">
      <c r="C789" s="92">
        <v>2</v>
      </c>
      <c r="D789" s="32">
        <v>603.63</v>
      </c>
      <c r="E789" s="90" t="s">
        <v>624</v>
      </c>
    </row>
    <row r="790" spans="3:5" x14ac:dyDescent="0.25">
      <c r="C790" s="92">
        <v>2</v>
      </c>
      <c r="D790" s="32">
        <v>603.64</v>
      </c>
      <c r="E790" s="90" t="s">
        <v>625</v>
      </c>
    </row>
    <row r="791" spans="3:5" x14ac:dyDescent="0.25">
      <c r="C791" s="92">
        <v>2</v>
      </c>
      <c r="D791" s="32">
        <v>603.65</v>
      </c>
      <c r="E791" s="90" t="s">
        <v>626</v>
      </c>
    </row>
    <row r="792" spans="3:5" x14ac:dyDescent="0.25">
      <c r="C792" s="92">
        <v>2</v>
      </c>
      <c r="D792" s="32">
        <v>603.66</v>
      </c>
      <c r="E792" s="90" t="s">
        <v>627</v>
      </c>
    </row>
    <row r="793" spans="3:5" x14ac:dyDescent="0.25">
      <c r="C793" s="92">
        <v>2</v>
      </c>
      <c r="D793" s="32">
        <v>603.66999999999996</v>
      </c>
      <c r="E793" s="90" t="s">
        <v>628</v>
      </c>
    </row>
    <row r="794" spans="3:5" x14ac:dyDescent="0.25">
      <c r="C794" s="92">
        <v>2</v>
      </c>
      <c r="D794" s="32">
        <v>603.67999999999995</v>
      </c>
      <c r="E794" s="90" t="s">
        <v>629</v>
      </c>
    </row>
    <row r="795" spans="3:5" x14ac:dyDescent="0.25">
      <c r="C795" s="92">
        <v>2</v>
      </c>
      <c r="D795" s="32">
        <v>603.69000000000005</v>
      </c>
      <c r="E795" s="90" t="s">
        <v>630</v>
      </c>
    </row>
    <row r="796" spans="3:5" x14ac:dyDescent="0.25">
      <c r="C796" s="92">
        <v>2</v>
      </c>
      <c r="D796" s="32">
        <v>603.70000000000005</v>
      </c>
      <c r="E796" s="90" t="s">
        <v>631</v>
      </c>
    </row>
    <row r="797" spans="3:5" x14ac:dyDescent="0.25">
      <c r="C797" s="92">
        <v>2</v>
      </c>
      <c r="D797" s="32">
        <v>603.71</v>
      </c>
      <c r="E797" s="90" t="s">
        <v>632</v>
      </c>
    </row>
    <row r="798" spans="3:5" x14ac:dyDescent="0.25">
      <c r="C798" s="92">
        <v>2</v>
      </c>
      <c r="D798" s="32">
        <v>603.72</v>
      </c>
      <c r="E798" s="90" t="s">
        <v>633</v>
      </c>
    </row>
    <row r="799" spans="3:5" x14ac:dyDescent="0.25">
      <c r="C799" s="92">
        <v>2</v>
      </c>
      <c r="D799" s="32">
        <v>603.73</v>
      </c>
      <c r="E799" s="90" t="s">
        <v>634</v>
      </c>
    </row>
    <row r="800" spans="3:5" x14ac:dyDescent="0.25">
      <c r="C800" s="92">
        <v>2</v>
      </c>
      <c r="D800" s="32">
        <v>603.74</v>
      </c>
      <c r="E800" s="90" t="s">
        <v>637</v>
      </c>
    </row>
    <row r="801" spans="3:5" x14ac:dyDescent="0.25">
      <c r="C801" s="92">
        <v>2</v>
      </c>
      <c r="D801" s="32">
        <v>603.75</v>
      </c>
      <c r="E801" s="90" t="s">
        <v>638</v>
      </c>
    </row>
    <row r="802" spans="3:5" x14ac:dyDescent="0.25">
      <c r="C802" s="92">
        <v>2</v>
      </c>
      <c r="D802" s="32">
        <v>603.76</v>
      </c>
      <c r="E802" s="90" t="s">
        <v>639</v>
      </c>
    </row>
    <row r="803" spans="3:5" x14ac:dyDescent="0.25">
      <c r="C803" s="92">
        <v>2</v>
      </c>
      <c r="D803" s="32">
        <v>603.77</v>
      </c>
      <c r="E803" s="90" t="s">
        <v>651</v>
      </c>
    </row>
    <row r="804" spans="3:5" x14ac:dyDescent="0.25">
      <c r="C804" s="92">
        <v>2</v>
      </c>
      <c r="D804" s="32">
        <v>603.78</v>
      </c>
      <c r="E804" s="90" t="s">
        <v>652</v>
      </c>
    </row>
    <row r="805" spans="3:5" x14ac:dyDescent="0.25">
      <c r="C805" s="92">
        <v>2</v>
      </c>
      <c r="D805" s="32">
        <v>603.79</v>
      </c>
      <c r="E805" s="90" t="s">
        <v>642</v>
      </c>
    </row>
    <row r="806" spans="3:5" x14ac:dyDescent="0.25">
      <c r="C806" s="92">
        <v>2</v>
      </c>
      <c r="D806" s="32">
        <v>603.79999999999995</v>
      </c>
      <c r="E806" s="90" t="s">
        <v>643</v>
      </c>
    </row>
    <row r="807" spans="3:5" x14ac:dyDescent="0.25">
      <c r="C807" s="92">
        <v>2</v>
      </c>
      <c r="D807" s="32">
        <v>603.80999999999995</v>
      </c>
      <c r="E807" s="90" t="s">
        <v>644</v>
      </c>
    </row>
    <row r="808" spans="3:5" x14ac:dyDescent="0.25">
      <c r="C808" s="92">
        <v>2</v>
      </c>
      <c r="D808" s="32">
        <v>603.82000000000005</v>
      </c>
      <c r="E808" s="90" t="s">
        <v>653</v>
      </c>
    </row>
    <row r="809" spans="3:5" x14ac:dyDescent="0.25">
      <c r="C809" s="91">
        <v>1</v>
      </c>
      <c r="D809" s="32">
        <v>604</v>
      </c>
      <c r="E809" s="97" t="s">
        <v>654</v>
      </c>
    </row>
    <row r="810" spans="3:5" x14ac:dyDescent="0.25">
      <c r="C810" s="92">
        <v>2</v>
      </c>
      <c r="D810" s="32">
        <v>604.01</v>
      </c>
      <c r="E810" s="90" t="s">
        <v>562</v>
      </c>
    </row>
    <row r="811" spans="3:5" x14ac:dyDescent="0.25">
      <c r="C811" s="92">
        <v>2</v>
      </c>
      <c r="D811" s="32">
        <v>604.02</v>
      </c>
      <c r="E811" s="90" t="s">
        <v>563</v>
      </c>
    </row>
    <row r="812" spans="3:5" x14ac:dyDescent="0.25">
      <c r="C812" s="92">
        <v>2</v>
      </c>
      <c r="D812" s="32">
        <v>604.03</v>
      </c>
      <c r="E812" s="90" t="s">
        <v>564</v>
      </c>
    </row>
    <row r="813" spans="3:5" x14ac:dyDescent="0.25">
      <c r="C813" s="92">
        <v>2</v>
      </c>
      <c r="D813" s="32">
        <v>604.04</v>
      </c>
      <c r="E813" s="90" t="s">
        <v>565</v>
      </c>
    </row>
    <row r="814" spans="3:5" x14ac:dyDescent="0.25">
      <c r="C814" s="92">
        <v>2</v>
      </c>
      <c r="D814" s="32">
        <v>604.04999999999995</v>
      </c>
      <c r="E814" s="90" t="s">
        <v>566</v>
      </c>
    </row>
    <row r="815" spans="3:5" x14ac:dyDescent="0.25">
      <c r="C815" s="92">
        <v>2</v>
      </c>
      <c r="D815" s="32">
        <v>604.05999999999995</v>
      </c>
      <c r="E815" s="90" t="s">
        <v>567</v>
      </c>
    </row>
    <row r="816" spans="3:5" x14ac:dyDescent="0.25">
      <c r="C816" s="92">
        <v>2</v>
      </c>
      <c r="D816" s="32">
        <v>604.07000000000005</v>
      </c>
      <c r="E816" s="90" t="s">
        <v>568</v>
      </c>
    </row>
    <row r="817" spans="3:5" x14ac:dyDescent="0.25">
      <c r="C817" s="92">
        <v>2</v>
      </c>
      <c r="D817" s="32">
        <v>604.08000000000004</v>
      </c>
      <c r="E817" s="90" t="s">
        <v>569</v>
      </c>
    </row>
    <row r="818" spans="3:5" x14ac:dyDescent="0.25">
      <c r="C818" s="92">
        <v>2</v>
      </c>
      <c r="D818" s="32">
        <v>604.09</v>
      </c>
      <c r="E818" s="90" t="s">
        <v>570</v>
      </c>
    </row>
    <row r="819" spans="3:5" x14ac:dyDescent="0.25">
      <c r="C819" s="92">
        <v>2</v>
      </c>
      <c r="D819" s="32">
        <v>604.1</v>
      </c>
      <c r="E819" s="90" t="s">
        <v>571</v>
      </c>
    </row>
    <row r="820" spans="3:5" x14ac:dyDescent="0.25">
      <c r="C820" s="92">
        <v>2</v>
      </c>
      <c r="D820" s="32">
        <v>604.11</v>
      </c>
      <c r="E820" s="90" t="s">
        <v>572</v>
      </c>
    </row>
    <row r="821" spans="3:5" x14ac:dyDescent="0.25">
      <c r="C821" s="92">
        <v>2</v>
      </c>
      <c r="D821" s="32">
        <v>604.12</v>
      </c>
      <c r="E821" s="90" t="s">
        <v>573</v>
      </c>
    </row>
    <row r="822" spans="3:5" x14ac:dyDescent="0.25">
      <c r="C822" s="92">
        <v>2</v>
      </c>
      <c r="D822" s="32">
        <v>604.13</v>
      </c>
      <c r="E822" s="90" t="s">
        <v>574</v>
      </c>
    </row>
    <row r="823" spans="3:5" x14ac:dyDescent="0.25">
      <c r="C823" s="92">
        <v>2</v>
      </c>
      <c r="D823" s="32">
        <v>604.14</v>
      </c>
      <c r="E823" s="90" t="s">
        <v>575</v>
      </c>
    </row>
    <row r="824" spans="3:5" x14ac:dyDescent="0.25">
      <c r="C824" s="92">
        <v>2</v>
      </c>
      <c r="D824" s="32">
        <v>604.15</v>
      </c>
      <c r="E824" s="90" t="s">
        <v>576</v>
      </c>
    </row>
    <row r="825" spans="3:5" x14ac:dyDescent="0.25">
      <c r="C825" s="92">
        <v>2</v>
      </c>
      <c r="D825" s="32">
        <v>604.16</v>
      </c>
      <c r="E825" s="90" t="s">
        <v>577</v>
      </c>
    </row>
    <row r="826" spans="3:5" x14ac:dyDescent="0.25">
      <c r="C826" s="92">
        <v>2</v>
      </c>
      <c r="D826" s="32">
        <v>604.16999999999996</v>
      </c>
      <c r="E826" s="90" t="s">
        <v>578</v>
      </c>
    </row>
    <row r="827" spans="3:5" x14ac:dyDescent="0.25">
      <c r="C827" s="92">
        <v>2</v>
      </c>
      <c r="D827" s="32">
        <v>604.17999999999995</v>
      </c>
      <c r="E827" s="90" t="s">
        <v>579</v>
      </c>
    </row>
    <row r="828" spans="3:5" x14ac:dyDescent="0.25">
      <c r="C828" s="92">
        <v>2</v>
      </c>
      <c r="D828" s="32">
        <v>604.19000000000005</v>
      </c>
      <c r="E828" s="90" t="s">
        <v>580</v>
      </c>
    </row>
    <row r="829" spans="3:5" x14ac:dyDescent="0.25">
      <c r="C829" s="92">
        <v>2</v>
      </c>
      <c r="D829" s="32">
        <v>604.20000000000005</v>
      </c>
      <c r="E829" s="90" t="s">
        <v>581</v>
      </c>
    </row>
    <row r="830" spans="3:5" x14ac:dyDescent="0.25">
      <c r="C830" s="92">
        <v>2</v>
      </c>
      <c r="D830" s="32">
        <v>604.21</v>
      </c>
      <c r="E830" s="90" t="s">
        <v>582</v>
      </c>
    </row>
    <row r="831" spans="3:5" x14ac:dyDescent="0.25">
      <c r="C831" s="92">
        <v>2</v>
      </c>
      <c r="D831" s="32">
        <v>604.22</v>
      </c>
      <c r="E831" s="90" t="s">
        <v>583</v>
      </c>
    </row>
    <row r="832" spans="3:5" x14ac:dyDescent="0.25">
      <c r="C832" s="92">
        <v>2</v>
      </c>
      <c r="D832" s="32">
        <v>604.23</v>
      </c>
      <c r="E832" s="90" t="s">
        <v>584</v>
      </c>
    </row>
    <row r="833" spans="3:5" x14ac:dyDescent="0.25">
      <c r="C833" s="92">
        <v>2</v>
      </c>
      <c r="D833" s="32">
        <v>604.24</v>
      </c>
      <c r="E833" s="90" t="s">
        <v>585</v>
      </c>
    </row>
    <row r="834" spans="3:5" x14ac:dyDescent="0.25">
      <c r="C834" s="92">
        <v>2</v>
      </c>
      <c r="D834" s="32">
        <v>604.25</v>
      </c>
      <c r="E834" s="90" t="s">
        <v>586</v>
      </c>
    </row>
    <row r="835" spans="3:5" x14ac:dyDescent="0.25">
      <c r="C835" s="92">
        <v>2</v>
      </c>
      <c r="D835" s="32">
        <v>604.26</v>
      </c>
      <c r="E835" s="90" t="s">
        <v>587</v>
      </c>
    </row>
    <row r="836" spans="3:5" x14ac:dyDescent="0.25">
      <c r="C836" s="92">
        <v>2</v>
      </c>
      <c r="D836" s="32">
        <v>604.27</v>
      </c>
      <c r="E836" s="90" t="s">
        <v>588</v>
      </c>
    </row>
    <row r="837" spans="3:5" x14ac:dyDescent="0.25">
      <c r="C837" s="92">
        <v>2</v>
      </c>
      <c r="D837" s="32">
        <v>604.28</v>
      </c>
      <c r="E837" s="90" t="s">
        <v>589</v>
      </c>
    </row>
    <row r="838" spans="3:5" x14ac:dyDescent="0.25">
      <c r="C838" s="92">
        <v>2</v>
      </c>
      <c r="D838" s="32">
        <v>604.29</v>
      </c>
      <c r="E838" s="90" t="s">
        <v>590</v>
      </c>
    </row>
    <row r="839" spans="3:5" x14ac:dyDescent="0.25">
      <c r="C839" s="92">
        <v>2</v>
      </c>
      <c r="D839" s="32">
        <v>604.29999999999995</v>
      </c>
      <c r="E839" s="90" t="s">
        <v>591</v>
      </c>
    </row>
    <row r="840" spans="3:5" x14ac:dyDescent="0.25">
      <c r="C840" s="92">
        <v>2</v>
      </c>
      <c r="D840" s="32">
        <v>604.30999999999995</v>
      </c>
      <c r="E840" s="90" t="s">
        <v>592</v>
      </c>
    </row>
    <row r="841" spans="3:5" x14ac:dyDescent="0.25">
      <c r="C841" s="92">
        <v>2</v>
      </c>
      <c r="D841" s="32">
        <v>604.32000000000005</v>
      </c>
      <c r="E841" s="90" t="s">
        <v>593</v>
      </c>
    </row>
    <row r="842" spans="3:5" x14ac:dyDescent="0.25">
      <c r="C842" s="92">
        <v>2</v>
      </c>
      <c r="D842" s="32">
        <v>604.33000000000004</v>
      </c>
      <c r="E842" s="90" t="s">
        <v>594</v>
      </c>
    </row>
    <row r="843" spans="3:5" x14ac:dyDescent="0.25">
      <c r="C843" s="92">
        <v>2</v>
      </c>
      <c r="D843" s="32">
        <v>604.34</v>
      </c>
      <c r="E843" s="90" t="s">
        <v>595</v>
      </c>
    </row>
    <row r="844" spans="3:5" x14ac:dyDescent="0.25">
      <c r="C844" s="92">
        <v>2</v>
      </c>
      <c r="D844" s="32">
        <v>604.35</v>
      </c>
      <c r="E844" s="90" t="s">
        <v>596</v>
      </c>
    </row>
    <row r="845" spans="3:5" x14ac:dyDescent="0.25">
      <c r="C845" s="92">
        <v>2</v>
      </c>
      <c r="D845" s="32">
        <v>604.36</v>
      </c>
      <c r="E845" s="90" t="s">
        <v>597</v>
      </c>
    </row>
    <row r="846" spans="3:5" x14ac:dyDescent="0.25">
      <c r="C846" s="92">
        <v>2</v>
      </c>
      <c r="D846" s="32">
        <v>604.37</v>
      </c>
      <c r="E846" s="90" t="s">
        <v>598</v>
      </c>
    </row>
    <row r="847" spans="3:5" x14ac:dyDescent="0.25">
      <c r="C847" s="92">
        <v>2</v>
      </c>
      <c r="D847" s="32">
        <v>604.38</v>
      </c>
      <c r="E847" s="90" t="s">
        <v>599</v>
      </c>
    </row>
    <row r="848" spans="3:5" x14ac:dyDescent="0.25">
      <c r="C848" s="92">
        <v>2</v>
      </c>
      <c r="D848" s="32">
        <v>604.39</v>
      </c>
      <c r="E848" s="90" t="s">
        <v>600</v>
      </c>
    </row>
    <row r="849" spans="3:5" x14ac:dyDescent="0.25">
      <c r="C849" s="92">
        <v>2</v>
      </c>
      <c r="D849" s="32">
        <v>604.4</v>
      </c>
      <c r="E849" s="90" t="s">
        <v>601</v>
      </c>
    </row>
    <row r="850" spans="3:5" x14ac:dyDescent="0.25">
      <c r="C850" s="92">
        <v>2</v>
      </c>
      <c r="D850" s="32">
        <v>604.41</v>
      </c>
      <c r="E850" s="90" t="s">
        <v>602</v>
      </c>
    </row>
    <row r="851" spans="3:5" x14ac:dyDescent="0.25">
      <c r="C851" s="92">
        <v>2</v>
      </c>
      <c r="D851" s="32">
        <v>604.41999999999996</v>
      </c>
      <c r="E851" s="90" t="s">
        <v>603</v>
      </c>
    </row>
    <row r="852" spans="3:5" x14ac:dyDescent="0.25">
      <c r="C852" s="92">
        <v>2</v>
      </c>
      <c r="D852" s="32">
        <v>604.42999999999995</v>
      </c>
      <c r="E852" s="90" t="s">
        <v>604</v>
      </c>
    </row>
    <row r="853" spans="3:5" x14ac:dyDescent="0.25">
      <c r="C853" s="92">
        <v>2</v>
      </c>
      <c r="D853" s="32">
        <v>604.44000000000005</v>
      </c>
      <c r="E853" s="90" t="s">
        <v>605</v>
      </c>
    </row>
    <row r="854" spans="3:5" x14ac:dyDescent="0.25">
      <c r="C854" s="92">
        <v>2</v>
      </c>
      <c r="D854" s="32">
        <v>604.45000000000005</v>
      </c>
      <c r="E854" s="90" t="s">
        <v>606</v>
      </c>
    </row>
    <row r="855" spans="3:5" x14ac:dyDescent="0.25">
      <c r="C855" s="92">
        <v>2</v>
      </c>
      <c r="D855" s="32">
        <v>604.46</v>
      </c>
      <c r="E855" s="90" t="s">
        <v>607</v>
      </c>
    </row>
    <row r="856" spans="3:5" x14ac:dyDescent="0.25">
      <c r="C856" s="92">
        <v>2</v>
      </c>
      <c r="D856" s="32">
        <v>604.47</v>
      </c>
      <c r="E856" s="90" t="s">
        <v>608</v>
      </c>
    </row>
    <row r="857" spans="3:5" x14ac:dyDescent="0.25">
      <c r="C857" s="92">
        <v>2</v>
      </c>
      <c r="D857" s="32">
        <v>604.48</v>
      </c>
      <c r="E857" s="90" t="s">
        <v>609</v>
      </c>
    </row>
    <row r="858" spans="3:5" x14ac:dyDescent="0.25">
      <c r="C858" s="92">
        <v>2</v>
      </c>
      <c r="D858" s="32">
        <v>604.49</v>
      </c>
      <c r="E858" s="90" t="s">
        <v>610</v>
      </c>
    </row>
    <row r="859" spans="3:5" x14ac:dyDescent="0.25">
      <c r="C859" s="92">
        <v>2</v>
      </c>
      <c r="D859" s="32">
        <v>604.5</v>
      </c>
      <c r="E859" s="90" t="s">
        <v>611</v>
      </c>
    </row>
    <row r="860" spans="3:5" x14ac:dyDescent="0.25">
      <c r="C860" s="92">
        <v>2</v>
      </c>
      <c r="D860" s="32">
        <v>604.51</v>
      </c>
      <c r="E860" s="90" t="s">
        <v>612</v>
      </c>
    </row>
    <row r="861" spans="3:5" x14ac:dyDescent="0.25">
      <c r="C861" s="92">
        <v>2</v>
      </c>
      <c r="D861" s="32">
        <v>604.52</v>
      </c>
      <c r="E861" s="90" t="s">
        <v>613</v>
      </c>
    </row>
    <row r="862" spans="3:5" x14ac:dyDescent="0.25">
      <c r="C862" s="92">
        <v>2</v>
      </c>
      <c r="D862" s="32">
        <v>604.53</v>
      </c>
      <c r="E862" s="90" t="s">
        <v>614</v>
      </c>
    </row>
    <row r="863" spans="3:5" x14ac:dyDescent="0.25">
      <c r="C863" s="92">
        <v>2</v>
      </c>
      <c r="D863" s="32">
        <v>604.54</v>
      </c>
      <c r="E863" s="90" t="s">
        <v>615</v>
      </c>
    </row>
    <row r="864" spans="3:5" x14ac:dyDescent="0.25">
      <c r="C864" s="92">
        <v>2</v>
      </c>
      <c r="D864" s="32">
        <v>604.54999999999995</v>
      </c>
      <c r="E864" s="90" t="s">
        <v>616</v>
      </c>
    </row>
    <row r="865" spans="3:5" x14ac:dyDescent="0.25">
      <c r="C865" s="92">
        <v>2</v>
      </c>
      <c r="D865" s="32">
        <v>604.55999999999995</v>
      </c>
      <c r="E865" s="90" t="s">
        <v>617</v>
      </c>
    </row>
    <row r="866" spans="3:5" x14ac:dyDescent="0.25">
      <c r="C866" s="92">
        <v>2</v>
      </c>
      <c r="D866" s="32">
        <v>604.57000000000005</v>
      </c>
      <c r="E866" s="90" t="s">
        <v>618</v>
      </c>
    </row>
    <row r="867" spans="3:5" x14ac:dyDescent="0.25">
      <c r="C867" s="92">
        <v>2</v>
      </c>
      <c r="D867" s="32">
        <v>604.58000000000004</v>
      </c>
      <c r="E867" s="90" t="s">
        <v>619</v>
      </c>
    </row>
    <row r="868" spans="3:5" x14ac:dyDescent="0.25">
      <c r="C868" s="92">
        <v>2</v>
      </c>
      <c r="D868" s="32">
        <v>604.59</v>
      </c>
      <c r="E868" s="90" t="s">
        <v>620</v>
      </c>
    </row>
    <row r="869" spans="3:5" x14ac:dyDescent="0.25">
      <c r="C869" s="92">
        <v>2</v>
      </c>
      <c r="D869" s="32">
        <v>604.6</v>
      </c>
      <c r="E869" s="90" t="s">
        <v>621</v>
      </c>
    </row>
    <row r="870" spans="3:5" x14ac:dyDescent="0.25">
      <c r="C870" s="92">
        <v>2</v>
      </c>
      <c r="D870" s="32">
        <v>604.61</v>
      </c>
      <c r="E870" s="90" t="s">
        <v>622</v>
      </c>
    </row>
    <row r="871" spans="3:5" x14ac:dyDescent="0.25">
      <c r="C871" s="92">
        <v>2</v>
      </c>
      <c r="D871" s="32">
        <v>604.62</v>
      </c>
      <c r="E871" s="90" t="s">
        <v>623</v>
      </c>
    </row>
    <row r="872" spans="3:5" x14ac:dyDescent="0.25">
      <c r="C872" s="92">
        <v>2</v>
      </c>
      <c r="D872" s="32">
        <v>604.63</v>
      </c>
      <c r="E872" s="90" t="s">
        <v>624</v>
      </c>
    </row>
    <row r="873" spans="3:5" x14ac:dyDescent="0.25">
      <c r="C873" s="92">
        <v>2</v>
      </c>
      <c r="D873" s="32">
        <v>604.64</v>
      </c>
      <c r="E873" s="90" t="s">
        <v>625</v>
      </c>
    </row>
    <row r="874" spans="3:5" x14ac:dyDescent="0.25">
      <c r="C874" s="92">
        <v>2</v>
      </c>
      <c r="D874" s="32">
        <v>604.65</v>
      </c>
      <c r="E874" s="90" t="s">
        <v>626</v>
      </c>
    </row>
    <row r="875" spans="3:5" x14ac:dyDescent="0.25">
      <c r="C875" s="92">
        <v>2</v>
      </c>
      <c r="D875" s="32">
        <v>604.66</v>
      </c>
      <c r="E875" s="90" t="s">
        <v>627</v>
      </c>
    </row>
    <row r="876" spans="3:5" x14ac:dyDescent="0.25">
      <c r="C876" s="92">
        <v>2</v>
      </c>
      <c r="D876" s="32">
        <v>604.66999999999996</v>
      </c>
      <c r="E876" s="90" t="s">
        <v>628</v>
      </c>
    </row>
    <row r="877" spans="3:5" x14ac:dyDescent="0.25">
      <c r="C877" s="92">
        <v>2</v>
      </c>
      <c r="D877" s="32">
        <v>604.67999999999995</v>
      </c>
      <c r="E877" s="90" t="s">
        <v>629</v>
      </c>
    </row>
    <row r="878" spans="3:5" x14ac:dyDescent="0.25">
      <c r="C878" s="92">
        <v>2</v>
      </c>
      <c r="D878" s="32">
        <v>604.69000000000005</v>
      </c>
      <c r="E878" s="90" t="s">
        <v>630</v>
      </c>
    </row>
    <row r="879" spans="3:5" x14ac:dyDescent="0.25">
      <c r="C879" s="92">
        <v>2</v>
      </c>
      <c r="D879" s="32">
        <v>604.70000000000005</v>
      </c>
      <c r="E879" s="90" t="s">
        <v>631</v>
      </c>
    </row>
    <row r="880" spans="3:5" x14ac:dyDescent="0.25">
      <c r="C880" s="92">
        <v>2</v>
      </c>
      <c r="D880" s="32">
        <v>604.71</v>
      </c>
      <c r="E880" s="90" t="s">
        <v>632</v>
      </c>
    </row>
    <row r="881" spans="3:5" x14ac:dyDescent="0.25">
      <c r="C881" s="92">
        <v>2</v>
      </c>
      <c r="D881" s="32">
        <v>604.72</v>
      </c>
      <c r="E881" s="90" t="s">
        <v>633</v>
      </c>
    </row>
    <row r="882" spans="3:5" x14ac:dyDescent="0.25">
      <c r="C882" s="92">
        <v>2</v>
      </c>
      <c r="D882" s="32">
        <v>604.73</v>
      </c>
      <c r="E882" s="90" t="s">
        <v>634</v>
      </c>
    </row>
    <row r="883" spans="3:5" x14ac:dyDescent="0.25">
      <c r="C883" s="92">
        <v>2</v>
      </c>
      <c r="D883" s="32">
        <v>604.74</v>
      </c>
      <c r="E883" s="90" t="s">
        <v>637</v>
      </c>
    </row>
    <row r="884" spans="3:5" x14ac:dyDescent="0.25">
      <c r="C884" s="92">
        <v>2</v>
      </c>
      <c r="D884" s="32">
        <v>604.75</v>
      </c>
      <c r="E884" s="90" t="s">
        <v>638</v>
      </c>
    </row>
    <row r="885" spans="3:5" x14ac:dyDescent="0.25">
      <c r="C885" s="92">
        <v>2</v>
      </c>
      <c r="D885" s="32">
        <v>604.76</v>
      </c>
      <c r="E885" s="90" t="s">
        <v>639</v>
      </c>
    </row>
    <row r="886" spans="3:5" x14ac:dyDescent="0.25">
      <c r="C886" s="92">
        <v>2</v>
      </c>
      <c r="D886" s="32">
        <v>604.77</v>
      </c>
      <c r="E886" s="90" t="s">
        <v>655</v>
      </c>
    </row>
    <row r="887" spans="3:5" x14ac:dyDescent="0.25">
      <c r="C887" s="92">
        <v>2</v>
      </c>
      <c r="D887" s="32">
        <v>604.78</v>
      </c>
      <c r="E887" s="90" t="s">
        <v>656</v>
      </c>
    </row>
    <row r="888" spans="3:5" x14ac:dyDescent="0.25">
      <c r="C888" s="92">
        <v>2</v>
      </c>
      <c r="D888" s="32">
        <v>604.79</v>
      </c>
      <c r="E888" s="90" t="s">
        <v>642</v>
      </c>
    </row>
    <row r="889" spans="3:5" x14ac:dyDescent="0.25">
      <c r="C889" s="92">
        <v>2</v>
      </c>
      <c r="D889" s="32">
        <v>604.79999999999995</v>
      </c>
      <c r="E889" s="90" t="s">
        <v>643</v>
      </c>
    </row>
    <row r="890" spans="3:5" x14ac:dyDescent="0.25">
      <c r="C890" s="92">
        <v>2</v>
      </c>
      <c r="D890" s="32">
        <v>604.80999999999995</v>
      </c>
      <c r="E890" s="90" t="s">
        <v>644</v>
      </c>
    </row>
    <row r="891" spans="3:5" x14ac:dyDescent="0.25">
      <c r="C891" s="92">
        <v>2</v>
      </c>
      <c r="D891" s="32">
        <v>604.82000000000005</v>
      </c>
      <c r="E891" s="90" t="s">
        <v>657</v>
      </c>
    </row>
    <row r="892" spans="3:5" x14ac:dyDescent="0.25">
      <c r="C892" s="91">
        <v>1</v>
      </c>
      <c r="D892" s="32">
        <v>605</v>
      </c>
      <c r="E892" s="97" t="s">
        <v>523</v>
      </c>
    </row>
    <row r="893" spans="3:5" x14ac:dyDescent="0.25">
      <c r="C893" s="92">
        <v>2</v>
      </c>
      <c r="D893" s="32">
        <v>605.01</v>
      </c>
      <c r="E893" s="90" t="s">
        <v>658</v>
      </c>
    </row>
    <row r="894" spans="3:5" x14ac:dyDescent="0.25">
      <c r="C894" s="92">
        <v>2</v>
      </c>
      <c r="D894" s="32">
        <v>605.02</v>
      </c>
      <c r="E894" s="90" t="s">
        <v>659</v>
      </c>
    </row>
    <row r="895" spans="3:5" x14ac:dyDescent="0.25">
      <c r="C895" s="92">
        <v>2</v>
      </c>
      <c r="D895" s="32">
        <v>605.03</v>
      </c>
      <c r="E895" s="90" t="s">
        <v>563</v>
      </c>
    </row>
    <row r="896" spans="3:5" x14ac:dyDescent="0.25">
      <c r="C896" s="92">
        <v>2</v>
      </c>
      <c r="D896" s="32">
        <v>605.04</v>
      </c>
      <c r="E896" s="90" t="s">
        <v>564</v>
      </c>
    </row>
    <row r="897" spans="3:5" x14ac:dyDescent="0.25">
      <c r="C897" s="92">
        <v>2</v>
      </c>
      <c r="D897" s="32">
        <v>605.04999999999995</v>
      </c>
      <c r="E897" s="90" t="s">
        <v>565</v>
      </c>
    </row>
    <row r="898" spans="3:5" x14ac:dyDescent="0.25">
      <c r="C898" s="92">
        <v>2</v>
      </c>
      <c r="D898" s="32">
        <v>605.05999999999995</v>
      </c>
      <c r="E898" s="90" t="s">
        <v>566</v>
      </c>
    </row>
    <row r="899" spans="3:5" x14ac:dyDescent="0.25">
      <c r="C899" s="92">
        <v>2</v>
      </c>
      <c r="D899" s="32">
        <v>605.07000000000005</v>
      </c>
      <c r="E899" s="90" t="s">
        <v>567</v>
      </c>
    </row>
    <row r="900" spans="3:5" x14ac:dyDescent="0.25">
      <c r="C900" s="92">
        <v>2</v>
      </c>
      <c r="D900" s="32">
        <v>605.08000000000004</v>
      </c>
      <c r="E900" s="90" t="s">
        <v>568</v>
      </c>
    </row>
    <row r="901" spans="3:5" x14ac:dyDescent="0.25">
      <c r="C901" s="92">
        <v>2</v>
      </c>
      <c r="D901" s="32">
        <v>605.09</v>
      </c>
      <c r="E901" s="90" t="s">
        <v>569</v>
      </c>
    </row>
    <row r="902" spans="3:5" x14ac:dyDescent="0.25">
      <c r="C902" s="92">
        <v>2</v>
      </c>
      <c r="D902" s="32">
        <v>605.1</v>
      </c>
      <c r="E902" s="90" t="s">
        <v>570</v>
      </c>
    </row>
    <row r="903" spans="3:5" x14ac:dyDescent="0.25">
      <c r="C903" s="92">
        <v>2</v>
      </c>
      <c r="D903" s="32">
        <v>605.11</v>
      </c>
      <c r="E903" s="90" t="s">
        <v>571</v>
      </c>
    </row>
    <row r="904" spans="3:5" x14ac:dyDescent="0.25">
      <c r="C904" s="92">
        <v>2</v>
      </c>
      <c r="D904" s="32">
        <v>605.12</v>
      </c>
      <c r="E904" s="90" t="s">
        <v>572</v>
      </c>
    </row>
    <row r="905" spans="3:5" x14ac:dyDescent="0.25">
      <c r="C905" s="92">
        <v>2</v>
      </c>
      <c r="D905" s="32">
        <v>605.13</v>
      </c>
      <c r="E905" s="90" t="s">
        <v>573</v>
      </c>
    </row>
    <row r="906" spans="3:5" x14ac:dyDescent="0.25">
      <c r="C906" s="92">
        <v>2</v>
      </c>
      <c r="D906" s="32">
        <v>605.14</v>
      </c>
      <c r="E906" s="90" t="s">
        <v>574</v>
      </c>
    </row>
    <row r="907" spans="3:5" x14ac:dyDescent="0.25">
      <c r="C907" s="92">
        <v>2</v>
      </c>
      <c r="D907" s="32">
        <v>605.15</v>
      </c>
      <c r="E907" s="90" t="s">
        <v>575</v>
      </c>
    </row>
    <row r="908" spans="3:5" x14ac:dyDescent="0.25">
      <c r="C908" s="92">
        <v>2</v>
      </c>
      <c r="D908" s="32">
        <v>605.16</v>
      </c>
      <c r="E908" s="90" t="s">
        <v>576</v>
      </c>
    </row>
    <row r="909" spans="3:5" x14ac:dyDescent="0.25">
      <c r="C909" s="92">
        <v>2</v>
      </c>
      <c r="D909" s="32">
        <v>605.16999999999996</v>
      </c>
      <c r="E909" s="90" t="s">
        <v>577</v>
      </c>
    </row>
    <row r="910" spans="3:5" x14ac:dyDescent="0.25">
      <c r="C910" s="92">
        <v>2</v>
      </c>
      <c r="D910" s="32">
        <v>605.17999999999995</v>
      </c>
      <c r="E910" s="90" t="s">
        <v>578</v>
      </c>
    </row>
    <row r="911" spans="3:5" x14ac:dyDescent="0.25">
      <c r="C911" s="92">
        <v>2</v>
      </c>
      <c r="D911" s="32">
        <v>605.19000000000005</v>
      </c>
      <c r="E911" s="90" t="s">
        <v>579</v>
      </c>
    </row>
    <row r="912" spans="3:5" x14ac:dyDescent="0.25">
      <c r="C912" s="92">
        <v>2</v>
      </c>
      <c r="D912" s="32">
        <v>605.20000000000005</v>
      </c>
      <c r="E912" s="90" t="s">
        <v>580</v>
      </c>
    </row>
    <row r="913" spans="3:5" x14ac:dyDescent="0.25">
      <c r="C913" s="92">
        <v>2</v>
      </c>
      <c r="D913" s="32">
        <v>605.21</v>
      </c>
      <c r="E913" s="90" t="s">
        <v>581</v>
      </c>
    </row>
    <row r="914" spans="3:5" x14ac:dyDescent="0.25">
      <c r="C914" s="92">
        <v>2</v>
      </c>
      <c r="D914" s="32">
        <v>605.22</v>
      </c>
      <c r="E914" s="90" t="s">
        <v>582</v>
      </c>
    </row>
    <row r="915" spans="3:5" x14ac:dyDescent="0.25">
      <c r="C915" s="92">
        <v>2</v>
      </c>
      <c r="D915" s="32">
        <v>605.23</v>
      </c>
      <c r="E915" s="90" t="s">
        <v>583</v>
      </c>
    </row>
    <row r="916" spans="3:5" x14ac:dyDescent="0.25">
      <c r="C916" s="92">
        <v>2</v>
      </c>
      <c r="D916" s="32">
        <v>605.24</v>
      </c>
      <c r="E916" s="90" t="s">
        <v>584</v>
      </c>
    </row>
    <row r="917" spans="3:5" x14ac:dyDescent="0.25">
      <c r="C917" s="92">
        <v>2</v>
      </c>
      <c r="D917" s="32">
        <v>605.25</v>
      </c>
      <c r="E917" s="90" t="s">
        <v>585</v>
      </c>
    </row>
    <row r="918" spans="3:5" x14ac:dyDescent="0.25">
      <c r="C918" s="92">
        <v>2</v>
      </c>
      <c r="D918" s="32">
        <v>605.26</v>
      </c>
      <c r="E918" s="90" t="s">
        <v>586</v>
      </c>
    </row>
    <row r="919" spans="3:5" x14ac:dyDescent="0.25">
      <c r="C919" s="92">
        <v>2</v>
      </c>
      <c r="D919" s="32">
        <v>605.27</v>
      </c>
      <c r="E919" s="90" t="s">
        <v>592</v>
      </c>
    </row>
    <row r="920" spans="3:5" x14ac:dyDescent="0.25">
      <c r="C920" s="92">
        <v>2</v>
      </c>
      <c r="D920" s="32">
        <v>605.28</v>
      </c>
      <c r="E920" s="90" t="s">
        <v>587</v>
      </c>
    </row>
    <row r="921" spans="3:5" x14ac:dyDescent="0.25">
      <c r="C921" s="92">
        <v>2</v>
      </c>
      <c r="D921" s="32">
        <v>605.29</v>
      </c>
      <c r="E921" s="90" t="s">
        <v>588</v>
      </c>
    </row>
    <row r="922" spans="3:5" x14ac:dyDescent="0.25">
      <c r="C922" s="92">
        <v>2</v>
      </c>
      <c r="D922" s="32">
        <v>605.29999999999995</v>
      </c>
      <c r="E922" s="90" t="s">
        <v>589</v>
      </c>
    </row>
    <row r="923" spans="3:5" x14ac:dyDescent="0.25">
      <c r="C923" s="92">
        <v>2</v>
      </c>
      <c r="D923" s="32">
        <v>605.30999999999995</v>
      </c>
      <c r="E923" s="90" t="s">
        <v>660</v>
      </c>
    </row>
    <row r="924" spans="3:5" x14ac:dyDescent="0.25">
      <c r="C924" s="91">
        <v>1</v>
      </c>
      <c r="D924" s="32">
        <v>606</v>
      </c>
      <c r="E924" s="97" t="s">
        <v>661</v>
      </c>
    </row>
    <row r="925" spans="3:5" x14ac:dyDescent="0.25">
      <c r="C925" s="92">
        <v>2</v>
      </c>
      <c r="D925" s="32">
        <v>606.01</v>
      </c>
      <c r="E925" s="90" t="s">
        <v>661</v>
      </c>
    </row>
    <row r="926" spans="3:5" x14ac:dyDescent="0.25">
      <c r="C926" s="91">
        <v>1</v>
      </c>
      <c r="D926" s="32">
        <v>607</v>
      </c>
      <c r="E926" s="97" t="s">
        <v>662</v>
      </c>
    </row>
    <row r="927" spans="3:5" x14ac:dyDescent="0.25">
      <c r="C927" s="92">
        <v>2</v>
      </c>
      <c r="D927" s="32">
        <v>607.01</v>
      </c>
      <c r="E927" s="90" t="s">
        <v>662</v>
      </c>
    </row>
    <row r="928" spans="3:5" x14ac:dyDescent="0.25">
      <c r="C928" s="91">
        <v>1</v>
      </c>
      <c r="D928" s="32">
        <v>608</v>
      </c>
      <c r="E928" s="97" t="s">
        <v>663</v>
      </c>
    </row>
    <row r="929" spans="3:5" x14ac:dyDescent="0.25">
      <c r="C929" s="92">
        <v>2</v>
      </c>
      <c r="D929" s="32">
        <v>608.01</v>
      </c>
      <c r="E929" s="90" t="s">
        <v>663</v>
      </c>
    </row>
    <row r="930" spans="3:5" x14ac:dyDescent="0.25">
      <c r="C930" s="91">
        <v>1</v>
      </c>
      <c r="D930" s="32">
        <v>609</v>
      </c>
      <c r="E930" s="97" t="s">
        <v>664</v>
      </c>
    </row>
    <row r="931" spans="3:5" x14ac:dyDescent="0.25">
      <c r="C931" s="92">
        <v>2</v>
      </c>
      <c r="D931" s="32">
        <v>609.01</v>
      </c>
      <c r="E931" s="90" t="s">
        <v>664</v>
      </c>
    </row>
    <row r="932" spans="3:5" x14ac:dyDescent="0.25">
      <c r="C932" s="91">
        <v>1</v>
      </c>
      <c r="D932" s="32">
        <v>610</v>
      </c>
      <c r="E932" s="97" t="s">
        <v>440</v>
      </c>
    </row>
    <row r="933" spans="3:5" x14ac:dyDescent="0.25">
      <c r="C933" s="92">
        <v>2</v>
      </c>
      <c r="D933" s="32">
        <v>610.01</v>
      </c>
      <c r="E933" s="90" t="s">
        <v>440</v>
      </c>
    </row>
    <row r="934" spans="3:5" x14ac:dyDescent="0.25">
      <c r="C934" s="91">
        <v>1</v>
      </c>
      <c r="D934" s="32">
        <v>611</v>
      </c>
      <c r="E934" s="97" t="s">
        <v>665</v>
      </c>
    </row>
    <row r="935" spans="3:5" x14ac:dyDescent="0.25">
      <c r="C935" s="92">
        <v>2</v>
      </c>
      <c r="D935" s="32">
        <v>611.01</v>
      </c>
      <c r="E935" s="90" t="s">
        <v>665</v>
      </c>
    </row>
    <row r="936" spans="3:5" x14ac:dyDescent="0.25">
      <c r="C936" s="92">
        <v>2</v>
      </c>
      <c r="D936" s="32">
        <v>611.02</v>
      </c>
      <c r="E936" s="90" t="s">
        <v>666</v>
      </c>
    </row>
    <row r="937" spans="3:5" x14ac:dyDescent="0.25">
      <c r="C937" s="91">
        <v>1</v>
      </c>
      <c r="D937" s="32">
        <v>612</v>
      </c>
      <c r="E937" s="97" t="s">
        <v>667</v>
      </c>
    </row>
    <row r="938" spans="3:5" x14ac:dyDescent="0.25">
      <c r="C938" s="92">
        <v>2</v>
      </c>
      <c r="D938" s="32">
        <v>612.01</v>
      </c>
      <c r="E938" s="90" t="s">
        <v>667</v>
      </c>
    </row>
    <row r="939" spans="3:5" x14ac:dyDescent="0.25">
      <c r="C939" s="91">
        <v>1</v>
      </c>
      <c r="D939" s="32">
        <v>613</v>
      </c>
      <c r="E939" s="97" t="s">
        <v>668</v>
      </c>
    </row>
    <row r="940" spans="3:5" x14ac:dyDescent="0.25">
      <c r="C940" s="92">
        <v>2</v>
      </c>
      <c r="D940" s="32">
        <v>613.01</v>
      </c>
      <c r="E940" s="90" t="s">
        <v>539</v>
      </c>
    </row>
    <row r="941" spans="3:5" x14ac:dyDescent="0.25">
      <c r="C941" s="92">
        <v>2</v>
      </c>
      <c r="D941" s="32">
        <v>613.02</v>
      </c>
      <c r="E941" s="90" t="s">
        <v>540</v>
      </c>
    </row>
    <row r="942" spans="3:5" ht="30" x14ac:dyDescent="0.25">
      <c r="C942" s="92">
        <v>2</v>
      </c>
      <c r="D942" s="32">
        <v>613.03</v>
      </c>
      <c r="E942" s="98" t="s">
        <v>541</v>
      </c>
    </row>
    <row r="943" spans="3:5" x14ac:dyDescent="0.25">
      <c r="C943" s="92">
        <v>2</v>
      </c>
      <c r="D943" s="32">
        <v>613.04</v>
      </c>
      <c r="E943" s="90" t="s">
        <v>542</v>
      </c>
    </row>
    <row r="944" spans="3:5" x14ac:dyDescent="0.25">
      <c r="C944" s="92">
        <v>2</v>
      </c>
      <c r="D944" s="32">
        <v>613.04999999999995</v>
      </c>
      <c r="E944" s="90" t="s">
        <v>543</v>
      </c>
    </row>
    <row r="945" spans="3:5" x14ac:dyDescent="0.25">
      <c r="C945" s="92">
        <v>2</v>
      </c>
      <c r="D945" s="32">
        <v>613.05999999999995</v>
      </c>
      <c r="E945" s="90" t="s">
        <v>544</v>
      </c>
    </row>
    <row r="946" spans="3:5" x14ac:dyDescent="0.25">
      <c r="C946" s="92">
        <v>2</v>
      </c>
      <c r="D946" s="32">
        <v>613.07000000000005</v>
      </c>
      <c r="E946" s="90" t="s">
        <v>545</v>
      </c>
    </row>
    <row r="947" spans="3:5" x14ac:dyDescent="0.25">
      <c r="C947" s="92">
        <v>2</v>
      </c>
      <c r="D947" s="32">
        <v>613.08000000000004</v>
      </c>
      <c r="E947" s="90" t="s">
        <v>546</v>
      </c>
    </row>
    <row r="948" spans="3:5" x14ac:dyDescent="0.25">
      <c r="C948" s="92">
        <v>2</v>
      </c>
      <c r="D948" s="32">
        <v>613.09</v>
      </c>
      <c r="E948" s="90" t="s">
        <v>547</v>
      </c>
    </row>
    <row r="949" spans="3:5" x14ac:dyDescent="0.25">
      <c r="C949" s="92">
        <v>2</v>
      </c>
      <c r="D949" s="32">
        <v>613.1</v>
      </c>
      <c r="E949" s="90" t="s">
        <v>548</v>
      </c>
    </row>
    <row r="950" spans="3:5" x14ac:dyDescent="0.25">
      <c r="C950" s="92">
        <v>2</v>
      </c>
      <c r="D950" s="32">
        <v>613.11</v>
      </c>
      <c r="E950" s="90" t="s">
        <v>549</v>
      </c>
    </row>
    <row r="951" spans="3:5" x14ac:dyDescent="0.25">
      <c r="C951" s="92">
        <v>2</v>
      </c>
      <c r="D951" s="32">
        <v>613.12</v>
      </c>
      <c r="E951" s="90" t="s">
        <v>550</v>
      </c>
    </row>
    <row r="952" spans="3:5" x14ac:dyDescent="0.25">
      <c r="C952" s="92">
        <v>2</v>
      </c>
      <c r="D952" s="32">
        <v>613.13</v>
      </c>
      <c r="E952" s="90" t="s">
        <v>551</v>
      </c>
    </row>
    <row r="953" spans="3:5" x14ac:dyDescent="0.25">
      <c r="C953" s="92">
        <v>2</v>
      </c>
      <c r="D953" s="32">
        <v>613.14</v>
      </c>
      <c r="E953" s="90" t="s">
        <v>552</v>
      </c>
    </row>
    <row r="954" spans="3:5" x14ac:dyDescent="0.25">
      <c r="C954" s="92">
        <v>2</v>
      </c>
      <c r="D954" s="32">
        <v>613.15</v>
      </c>
      <c r="E954" s="90" t="s">
        <v>553</v>
      </c>
    </row>
    <row r="955" spans="3:5" ht="30" x14ac:dyDescent="0.25">
      <c r="C955" s="92">
        <v>2</v>
      </c>
      <c r="D955" s="32">
        <v>613.16</v>
      </c>
      <c r="E955" s="98" t="s">
        <v>554</v>
      </c>
    </row>
    <row r="956" spans="3:5" x14ac:dyDescent="0.25">
      <c r="C956" s="92">
        <v>2</v>
      </c>
      <c r="D956" s="32">
        <v>613.16999999999996</v>
      </c>
      <c r="E956" s="90" t="s">
        <v>555</v>
      </c>
    </row>
    <row r="957" spans="3:5" x14ac:dyDescent="0.25">
      <c r="C957" s="92">
        <v>2</v>
      </c>
      <c r="D957" s="32">
        <v>613.17999999999995</v>
      </c>
      <c r="E957" s="90" t="s">
        <v>556</v>
      </c>
    </row>
    <row r="958" spans="3:5" x14ac:dyDescent="0.25">
      <c r="C958" s="91">
        <v>1</v>
      </c>
      <c r="D958" s="32">
        <v>614</v>
      </c>
      <c r="E958" s="97" t="s">
        <v>669</v>
      </c>
    </row>
    <row r="959" spans="3:5" x14ac:dyDescent="0.25">
      <c r="C959" s="92">
        <v>2</v>
      </c>
      <c r="D959" s="32">
        <v>614.01</v>
      </c>
      <c r="E959" s="90" t="s">
        <v>670</v>
      </c>
    </row>
    <row r="960" spans="3:5" x14ac:dyDescent="0.25">
      <c r="C960" s="92">
        <v>2</v>
      </c>
      <c r="D960" s="32">
        <v>614.02</v>
      </c>
      <c r="E960" s="90" t="s">
        <v>671</v>
      </c>
    </row>
    <row r="961" spans="3:5" x14ac:dyDescent="0.25">
      <c r="C961" s="92">
        <v>2</v>
      </c>
      <c r="D961" s="32">
        <v>614.03</v>
      </c>
      <c r="E961" s="90" t="s">
        <v>672</v>
      </c>
    </row>
    <row r="962" spans="3:5" x14ac:dyDescent="0.25">
      <c r="C962" s="92">
        <v>2</v>
      </c>
      <c r="D962" s="32">
        <v>614.04</v>
      </c>
      <c r="E962" s="90" t="s">
        <v>673</v>
      </c>
    </row>
    <row r="963" spans="3:5" x14ac:dyDescent="0.25">
      <c r="C963" s="92">
        <v>2</v>
      </c>
      <c r="D963" s="32">
        <v>614.04999999999995</v>
      </c>
      <c r="E963" s="90" t="s">
        <v>674</v>
      </c>
    </row>
    <row r="964" spans="3:5" x14ac:dyDescent="0.25">
      <c r="C964" s="92">
        <v>2</v>
      </c>
      <c r="D964" s="32">
        <v>614.05999999999995</v>
      </c>
      <c r="E964" s="90" t="s">
        <v>675</v>
      </c>
    </row>
    <row r="965" spans="3:5" x14ac:dyDescent="0.25">
      <c r="C965" s="92">
        <v>2</v>
      </c>
      <c r="D965" s="32">
        <v>614.07000000000005</v>
      </c>
      <c r="E965" s="90" t="s">
        <v>676</v>
      </c>
    </row>
    <row r="966" spans="3:5" x14ac:dyDescent="0.25">
      <c r="C966" s="92">
        <v>2</v>
      </c>
      <c r="D966" s="32">
        <v>614.08000000000004</v>
      </c>
      <c r="E966" s="90" t="s">
        <v>677</v>
      </c>
    </row>
    <row r="967" spans="3:5" x14ac:dyDescent="0.25">
      <c r="C967" s="92">
        <v>2</v>
      </c>
      <c r="D967" s="32">
        <v>614.09</v>
      </c>
      <c r="E967" s="90" t="s">
        <v>678</v>
      </c>
    </row>
    <row r="968" spans="3:5" x14ac:dyDescent="0.25">
      <c r="C968" s="92">
        <v>2</v>
      </c>
      <c r="D968" s="32">
        <v>614.1</v>
      </c>
      <c r="E968" s="90" t="s">
        <v>679</v>
      </c>
    </row>
    <row r="969" spans="3:5" x14ac:dyDescent="0.25">
      <c r="C969" s="89"/>
      <c r="D969" s="32">
        <v>700</v>
      </c>
      <c r="E969" s="97" t="s">
        <v>680</v>
      </c>
    </row>
    <row r="970" spans="3:5" x14ac:dyDescent="0.25">
      <c r="C970" s="91">
        <v>1</v>
      </c>
      <c r="D970" s="32">
        <v>701</v>
      </c>
      <c r="E970" s="97" t="s">
        <v>681</v>
      </c>
    </row>
    <row r="971" spans="3:5" x14ac:dyDescent="0.25">
      <c r="C971" s="92">
        <v>2</v>
      </c>
      <c r="D971" s="32">
        <v>701.01</v>
      </c>
      <c r="E971" s="90" t="s">
        <v>682</v>
      </c>
    </row>
    <row r="972" spans="3:5" x14ac:dyDescent="0.25">
      <c r="C972" s="92">
        <v>2</v>
      </c>
      <c r="D972" s="32">
        <v>701.02</v>
      </c>
      <c r="E972" s="90" t="s">
        <v>683</v>
      </c>
    </row>
    <row r="973" spans="3:5" x14ac:dyDescent="0.25">
      <c r="C973" s="92">
        <v>2</v>
      </c>
      <c r="D973" s="32">
        <v>701.03</v>
      </c>
      <c r="E973" s="90" t="s">
        <v>684</v>
      </c>
    </row>
    <row r="974" spans="3:5" x14ac:dyDescent="0.25">
      <c r="C974" s="92">
        <v>2</v>
      </c>
      <c r="D974" s="32">
        <v>701.04</v>
      </c>
      <c r="E974" s="90" t="s">
        <v>685</v>
      </c>
    </row>
    <row r="975" spans="3:5" x14ac:dyDescent="0.25">
      <c r="C975" s="92">
        <v>2</v>
      </c>
      <c r="D975" s="32">
        <v>701.05</v>
      </c>
      <c r="E975" s="90" t="s">
        <v>686</v>
      </c>
    </row>
    <row r="976" spans="3:5" x14ac:dyDescent="0.25">
      <c r="C976" s="92">
        <v>2</v>
      </c>
      <c r="D976" s="32">
        <v>701.06</v>
      </c>
      <c r="E976" s="90" t="s">
        <v>687</v>
      </c>
    </row>
    <row r="977" spans="3:5" x14ac:dyDescent="0.25">
      <c r="C977" s="92">
        <v>2</v>
      </c>
      <c r="D977" s="32">
        <v>701.07</v>
      </c>
      <c r="E977" s="90" t="s">
        <v>688</v>
      </c>
    </row>
    <row r="978" spans="3:5" x14ac:dyDescent="0.25">
      <c r="C978" s="92">
        <v>2</v>
      </c>
      <c r="D978" s="32">
        <v>701.08</v>
      </c>
      <c r="E978" s="90" t="s">
        <v>689</v>
      </c>
    </row>
    <row r="979" spans="3:5" x14ac:dyDescent="0.25">
      <c r="C979" s="92">
        <v>2</v>
      </c>
      <c r="D979" s="32">
        <v>701.09</v>
      </c>
      <c r="E979" s="90" t="s">
        <v>690</v>
      </c>
    </row>
    <row r="980" spans="3:5" x14ac:dyDescent="0.25">
      <c r="C980" s="92">
        <v>2</v>
      </c>
      <c r="D980" s="32">
        <v>701.1</v>
      </c>
      <c r="E980" s="90" t="s">
        <v>691</v>
      </c>
    </row>
    <row r="981" spans="3:5" x14ac:dyDescent="0.25">
      <c r="C981" s="92">
        <v>2</v>
      </c>
      <c r="D981" s="32">
        <v>701.11</v>
      </c>
      <c r="E981" s="90" t="s">
        <v>692</v>
      </c>
    </row>
    <row r="982" spans="3:5" x14ac:dyDescent="0.25">
      <c r="C982" s="91">
        <v>1</v>
      </c>
      <c r="D982" s="32">
        <v>702</v>
      </c>
      <c r="E982" s="97" t="s">
        <v>693</v>
      </c>
    </row>
    <row r="983" spans="3:5" x14ac:dyDescent="0.25">
      <c r="C983" s="92">
        <v>2</v>
      </c>
      <c r="D983" s="32">
        <v>702.01</v>
      </c>
      <c r="E983" s="90" t="s">
        <v>694</v>
      </c>
    </row>
    <row r="984" spans="3:5" x14ac:dyDescent="0.25">
      <c r="C984" s="92">
        <v>2</v>
      </c>
      <c r="D984" s="32">
        <v>702.02</v>
      </c>
      <c r="E984" s="90" t="s">
        <v>695</v>
      </c>
    </row>
    <row r="985" spans="3:5" x14ac:dyDescent="0.25">
      <c r="C985" s="92">
        <v>2</v>
      </c>
      <c r="D985" s="32">
        <v>702.03</v>
      </c>
      <c r="E985" s="90" t="s">
        <v>696</v>
      </c>
    </row>
    <row r="986" spans="3:5" x14ac:dyDescent="0.25">
      <c r="C986" s="92">
        <v>2</v>
      </c>
      <c r="D986" s="32">
        <v>702.04</v>
      </c>
      <c r="E986" s="90" t="s">
        <v>697</v>
      </c>
    </row>
    <row r="987" spans="3:5" x14ac:dyDescent="0.25">
      <c r="C987" s="92">
        <v>2</v>
      </c>
      <c r="D987" s="32">
        <v>702.05</v>
      </c>
      <c r="E987" s="90" t="s">
        <v>698</v>
      </c>
    </row>
    <row r="988" spans="3:5" x14ac:dyDescent="0.25">
      <c r="C988" s="92">
        <v>2</v>
      </c>
      <c r="D988" s="32">
        <v>702.06</v>
      </c>
      <c r="E988" s="90" t="s">
        <v>699</v>
      </c>
    </row>
    <row r="989" spans="3:5" x14ac:dyDescent="0.25">
      <c r="C989" s="92">
        <v>2</v>
      </c>
      <c r="D989" s="32">
        <v>702.07</v>
      </c>
      <c r="E989" s="90" t="s">
        <v>700</v>
      </c>
    </row>
    <row r="990" spans="3:5" x14ac:dyDescent="0.25">
      <c r="C990" s="92">
        <v>2</v>
      </c>
      <c r="D990" s="32">
        <v>702.08</v>
      </c>
      <c r="E990" s="90" t="s">
        <v>701</v>
      </c>
    </row>
    <row r="991" spans="3:5" x14ac:dyDescent="0.25">
      <c r="C991" s="92">
        <v>2</v>
      </c>
      <c r="D991" s="32">
        <v>702.09</v>
      </c>
      <c r="E991" s="90" t="s">
        <v>702</v>
      </c>
    </row>
    <row r="992" spans="3:5" x14ac:dyDescent="0.25">
      <c r="C992" s="92">
        <v>2</v>
      </c>
      <c r="D992" s="32">
        <v>702.1</v>
      </c>
      <c r="E992" s="90" t="s">
        <v>703</v>
      </c>
    </row>
    <row r="993" spans="3:5" x14ac:dyDescent="0.25">
      <c r="C993" s="91">
        <v>1</v>
      </c>
      <c r="D993" s="32">
        <v>703</v>
      </c>
      <c r="E993" s="97" t="s">
        <v>704</v>
      </c>
    </row>
    <row r="994" spans="3:5" x14ac:dyDescent="0.25">
      <c r="C994" s="92">
        <v>2</v>
      </c>
      <c r="D994" s="32">
        <v>703.01</v>
      </c>
      <c r="E994" s="90" t="s">
        <v>705</v>
      </c>
    </row>
    <row r="995" spans="3:5" x14ac:dyDescent="0.25">
      <c r="C995" s="92">
        <v>2</v>
      </c>
      <c r="D995" s="32">
        <v>703.02</v>
      </c>
      <c r="E995" s="90" t="s">
        <v>706</v>
      </c>
    </row>
    <row r="996" spans="3:5" x14ac:dyDescent="0.25">
      <c r="C996" s="92">
        <v>2</v>
      </c>
      <c r="D996" s="32">
        <v>703.03</v>
      </c>
      <c r="E996" s="90" t="s">
        <v>707</v>
      </c>
    </row>
    <row r="997" spans="3:5" ht="30" x14ac:dyDescent="0.25">
      <c r="C997" s="92">
        <v>2</v>
      </c>
      <c r="D997" s="32">
        <v>703.04</v>
      </c>
      <c r="E997" s="98" t="s">
        <v>708</v>
      </c>
    </row>
    <row r="998" spans="3:5" x14ac:dyDescent="0.25">
      <c r="C998" s="92">
        <v>2</v>
      </c>
      <c r="D998" s="32">
        <v>703.05</v>
      </c>
      <c r="E998" s="90" t="s">
        <v>709</v>
      </c>
    </row>
    <row r="999" spans="3:5" x14ac:dyDescent="0.25">
      <c r="C999" s="92">
        <v>2</v>
      </c>
      <c r="D999" s="32">
        <v>703.06</v>
      </c>
      <c r="E999" s="90" t="s">
        <v>710</v>
      </c>
    </row>
    <row r="1000" spans="3:5" x14ac:dyDescent="0.25">
      <c r="C1000" s="92">
        <v>2</v>
      </c>
      <c r="D1000" s="32">
        <v>703.07</v>
      </c>
      <c r="E1000" s="90" t="s">
        <v>711</v>
      </c>
    </row>
    <row r="1001" spans="3:5" x14ac:dyDescent="0.25">
      <c r="C1001" s="92">
        <v>2</v>
      </c>
      <c r="D1001" s="32">
        <v>703.08</v>
      </c>
      <c r="E1001" s="90" t="s">
        <v>712</v>
      </c>
    </row>
    <row r="1002" spans="3:5" x14ac:dyDescent="0.25">
      <c r="C1002" s="92">
        <v>2</v>
      </c>
      <c r="D1002" s="32">
        <v>703.09</v>
      </c>
      <c r="E1002" s="90" t="s">
        <v>713</v>
      </c>
    </row>
    <row r="1003" spans="3:5" x14ac:dyDescent="0.25">
      <c r="C1003" s="92">
        <v>2</v>
      </c>
      <c r="D1003" s="32">
        <v>703.1</v>
      </c>
      <c r="E1003" s="90" t="s">
        <v>714</v>
      </c>
    </row>
    <row r="1004" spans="3:5" x14ac:dyDescent="0.25">
      <c r="C1004" s="92">
        <v>2</v>
      </c>
      <c r="D1004" s="32">
        <v>703.11</v>
      </c>
      <c r="E1004" s="90" t="s">
        <v>715</v>
      </c>
    </row>
    <row r="1005" spans="3:5" x14ac:dyDescent="0.25">
      <c r="C1005" s="92">
        <v>2</v>
      </c>
      <c r="D1005" s="32">
        <v>703.12</v>
      </c>
      <c r="E1005" s="90" t="s">
        <v>716</v>
      </c>
    </row>
    <row r="1006" spans="3:5" x14ac:dyDescent="0.25">
      <c r="C1006" s="92">
        <v>2</v>
      </c>
      <c r="D1006" s="32">
        <v>703.13</v>
      </c>
      <c r="E1006" s="90" t="s">
        <v>717</v>
      </c>
    </row>
    <row r="1007" spans="3:5" x14ac:dyDescent="0.25">
      <c r="C1007" s="92">
        <v>2</v>
      </c>
      <c r="D1007" s="32">
        <v>703.14</v>
      </c>
      <c r="E1007" s="90" t="s">
        <v>718</v>
      </c>
    </row>
    <row r="1008" spans="3:5" x14ac:dyDescent="0.25">
      <c r="C1008" s="92">
        <v>2</v>
      </c>
      <c r="D1008" s="32">
        <v>703.15</v>
      </c>
      <c r="E1008" s="90" t="s">
        <v>719</v>
      </c>
    </row>
    <row r="1009" spans="3:5" ht="30" x14ac:dyDescent="0.25">
      <c r="C1009" s="92">
        <v>2</v>
      </c>
      <c r="D1009" s="32">
        <v>703.16</v>
      </c>
      <c r="E1009" s="90" t="s">
        <v>720</v>
      </c>
    </row>
    <row r="1010" spans="3:5" ht="30" x14ac:dyDescent="0.25">
      <c r="C1010" s="92">
        <v>2</v>
      </c>
      <c r="D1010" s="32">
        <v>703.17</v>
      </c>
      <c r="E1010" s="98" t="s">
        <v>721</v>
      </c>
    </row>
    <row r="1011" spans="3:5" x14ac:dyDescent="0.25">
      <c r="C1011" s="92">
        <v>2</v>
      </c>
      <c r="D1011" s="32">
        <v>703.18</v>
      </c>
      <c r="E1011" s="90" t="s">
        <v>722</v>
      </c>
    </row>
    <row r="1012" spans="3:5" x14ac:dyDescent="0.25">
      <c r="C1012" s="92">
        <v>2</v>
      </c>
      <c r="D1012" s="32">
        <v>703.19</v>
      </c>
      <c r="E1012" s="90" t="s">
        <v>723</v>
      </c>
    </row>
    <row r="1013" spans="3:5" x14ac:dyDescent="0.25">
      <c r="C1013" s="92">
        <v>2</v>
      </c>
      <c r="D1013" s="32">
        <v>703.2</v>
      </c>
      <c r="E1013" s="90" t="s">
        <v>724</v>
      </c>
    </row>
    <row r="1014" spans="3:5" x14ac:dyDescent="0.25">
      <c r="C1014" s="92">
        <v>2</v>
      </c>
      <c r="D1014" s="32">
        <v>703.21</v>
      </c>
      <c r="E1014" s="90" t="s">
        <v>704</v>
      </c>
    </row>
    <row r="1015" spans="3:5" x14ac:dyDescent="0.25">
      <c r="C1015" s="91">
        <v>1</v>
      </c>
      <c r="D1015" s="32">
        <v>704</v>
      </c>
      <c r="E1015" s="97" t="s">
        <v>725</v>
      </c>
    </row>
    <row r="1016" spans="3:5" x14ac:dyDescent="0.25">
      <c r="C1016" s="92">
        <v>2</v>
      </c>
      <c r="D1016" s="32">
        <v>704.01</v>
      </c>
      <c r="E1016" s="90" t="s">
        <v>726</v>
      </c>
    </row>
    <row r="1017" spans="3:5" x14ac:dyDescent="0.25">
      <c r="C1017" s="92">
        <v>2</v>
      </c>
      <c r="D1017" s="32">
        <v>704.02</v>
      </c>
      <c r="E1017" s="90" t="s">
        <v>727</v>
      </c>
    </row>
    <row r="1018" spans="3:5" x14ac:dyDescent="0.25">
      <c r="C1018" s="92">
        <v>2</v>
      </c>
      <c r="D1018" s="32">
        <v>704.03</v>
      </c>
      <c r="E1018" s="90" t="s">
        <v>728</v>
      </c>
    </row>
    <row r="1019" spans="3:5" ht="30" x14ac:dyDescent="0.25">
      <c r="C1019" s="92">
        <v>2</v>
      </c>
      <c r="D1019" s="32">
        <v>704.04</v>
      </c>
      <c r="E1019" s="98" t="s">
        <v>729</v>
      </c>
    </row>
    <row r="1020" spans="3:5" x14ac:dyDescent="0.25">
      <c r="C1020" s="92">
        <v>2</v>
      </c>
      <c r="D1020" s="32">
        <v>704.05</v>
      </c>
      <c r="E1020" s="90" t="s">
        <v>730</v>
      </c>
    </row>
    <row r="1021" spans="3:5" x14ac:dyDescent="0.25">
      <c r="C1021" s="92">
        <v>2</v>
      </c>
      <c r="D1021" s="32">
        <v>704.06</v>
      </c>
      <c r="E1021" s="90" t="s">
        <v>731</v>
      </c>
    </row>
    <row r="1022" spans="3:5" x14ac:dyDescent="0.25">
      <c r="C1022" s="92">
        <v>2</v>
      </c>
      <c r="D1022" s="32">
        <v>704.07</v>
      </c>
      <c r="E1022" s="90" t="s">
        <v>732</v>
      </c>
    </row>
    <row r="1023" spans="3:5" x14ac:dyDescent="0.25">
      <c r="C1023" s="92">
        <v>2</v>
      </c>
      <c r="D1023" s="32">
        <v>704.08</v>
      </c>
      <c r="E1023" s="90" t="s">
        <v>733</v>
      </c>
    </row>
    <row r="1024" spans="3:5" x14ac:dyDescent="0.25">
      <c r="C1024" s="92">
        <v>2</v>
      </c>
      <c r="D1024" s="32">
        <v>704.09</v>
      </c>
      <c r="E1024" s="90" t="s">
        <v>734</v>
      </c>
    </row>
    <row r="1025" spans="3:5" x14ac:dyDescent="0.25">
      <c r="C1025" s="92">
        <v>2</v>
      </c>
      <c r="D1025" s="32">
        <v>704.1</v>
      </c>
      <c r="E1025" s="90" t="s">
        <v>735</v>
      </c>
    </row>
    <row r="1026" spans="3:5" x14ac:dyDescent="0.25">
      <c r="C1026" s="92">
        <v>2</v>
      </c>
      <c r="D1026" s="32">
        <v>704.11</v>
      </c>
      <c r="E1026" s="90" t="s">
        <v>736</v>
      </c>
    </row>
    <row r="1027" spans="3:5" x14ac:dyDescent="0.25">
      <c r="C1027" s="92">
        <v>2</v>
      </c>
      <c r="D1027" s="32">
        <v>704.12</v>
      </c>
      <c r="E1027" s="90" t="s">
        <v>737</v>
      </c>
    </row>
    <row r="1028" spans="3:5" x14ac:dyDescent="0.25">
      <c r="C1028" s="92">
        <v>2</v>
      </c>
      <c r="D1028" s="32">
        <v>704.13</v>
      </c>
      <c r="E1028" s="90" t="s">
        <v>738</v>
      </c>
    </row>
    <row r="1029" spans="3:5" x14ac:dyDescent="0.25">
      <c r="C1029" s="92">
        <v>2</v>
      </c>
      <c r="D1029" s="32">
        <v>704.14</v>
      </c>
      <c r="E1029" s="90" t="s">
        <v>739</v>
      </c>
    </row>
    <row r="1030" spans="3:5" x14ac:dyDescent="0.25">
      <c r="C1030" s="92">
        <v>2</v>
      </c>
      <c r="D1030" s="32">
        <v>704.15</v>
      </c>
      <c r="E1030" s="90" t="s">
        <v>740</v>
      </c>
    </row>
    <row r="1031" spans="3:5" ht="30" x14ac:dyDescent="0.25">
      <c r="C1031" s="92">
        <v>2</v>
      </c>
      <c r="D1031" s="32">
        <v>704.16</v>
      </c>
      <c r="E1031" s="98" t="s">
        <v>741</v>
      </c>
    </row>
    <row r="1032" spans="3:5" ht="30" x14ac:dyDescent="0.25">
      <c r="C1032" s="92">
        <v>2</v>
      </c>
      <c r="D1032" s="32">
        <v>704.17</v>
      </c>
      <c r="E1032" s="98" t="s">
        <v>742</v>
      </c>
    </row>
    <row r="1033" spans="3:5" x14ac:dyDescent="0.25">
      <c r="C1033" s="92">
        <v>2</v>
      </c>
      <c r="D1033" s="32">
        <v>704.18</v>
      </c>
      <c r="E1033" s="90" t="s">
        <v>743</v>
      </c>
    </row>
    <row r="1034" spans="3:5" x14ac:dyDescent="0.25">
      <c r="C1034" s="92">
        <v>2</v>
      </c>
      <c r="D1034" s="32">
        <v>704.19</v>
      </c>
      <c r="E1034" s="90" t="s">
        <v>744</v>
      </c>
    </row>
    <row r="1035" spans="3:5" x14ac:dyDescent="0.25">
      <c r="C1035" s="92">
        <v>2</v>
      </c>
      <c r="D1035" s="32">
        <v>704.2</v>
      </c>
      <c r="E1035" s="90" t="s">
        <v>745</v>
      </c>
    </row>
    <row r="1036" spans="3:5" x14ac:dyDescent="0.25">
      <c r="C1036" s="92">
        <v>2</v>
      </c>
      <c r="D1036" s="32">
        <v>704.21</v>
      </c>
      <c r="E1036" s="90" t="s">
        <v>746</v>
      </c>
    </row>
    <row r="1037" spans="3:5" x14ac:dyDescent="0.25">
      <c r="C1037" s="92">
        <v>2</v>
      </c>
      <c r="D1037" s="32">
        <v>704.22</v>
      </c>
      <c r="E1037" s="90" t="s">
        <v>515</v>
      </c>
    </row>
    <row r="1038" spans="3:5" x14ac:dyDescent="0.25">
      <c r="C1038" s="92">
        <v>2</v>
      </c>
      <c r="D1038" s="32">
        <v>704.23</v>
      </c>
      <c r="E1038" s="90" t="s">
        <v>725</v>
      </c>
    </row>
    <row r="1039" spans="3:5" x14ac:dyDescent="0.25">
      <c r="C1039" s="89"/>
      <c r="D1039" s="32">
        <v>800</v>
      </c>
      <c r="E1039" s="97" t="s">
        <v>747</v>
      </c>
    </row>
    <row r="1040" spans="3:5" x14ac:dyDescent="0.25">
      <c r="C1040" s="91">
        <v>1</v>
      </c>
      <c r="D1040" s="32">
        <v>801</v>
      </c>
      <c r="E1040" s="97" t="s">
        <v>748</v>
      </c>
    </row>
    <row r="1041" spans="3:5" x14ac:dyDescent="0.25">
      <c r="C1041" s="92">
        <v>2</v>
      </c>
      <c r="D1041" s="32">
        <v>801.01</v>
      </c>
      <c r="E1041" s="90" t="s">
        <v>749</v>
      </c>
    </row>
    <row r="1042" spans="3:5" x14ac:dyDescent="0.25">
      <c r="C1042" s="92">
        <v>2</v>
      </c>
      <c r="D1042" s="32">
        <v>801.02</v>
      </c>
      <c r="E1042" s="90" t="s">
        <v>750</v>
      </c>
    </row>
    <row r="1043" spans="3:5" x14ac:dyDescent="0.25">
      <c r="C1043" s="91">
        <v>1</v>
      </c>
      <c r="D1043" s="32">
        <v>802</v>
      </c>
      <c r="E1043" s="97" t="s">
        <v>751</v>
      </c>
    </row>
    <row r="1044" spans="3:5" x14ac:dyDescent="0.25">
      <c r="C1044" s="92">
        <v>2</v>
      </c>
      <c r="D1044" s="32">
        <v>802.01</v>
      </c>
      <c r="E1044" s="90" t="s">
        <v>752</v>
      </c>
    </row>
    <row r="1045" spans="3:5" x14ac:dyDescent="0.25">
      <c r="C1045" s="92">
        <v>2</v>
      </c>
      <c r="D1045" s="32">
        <v>802.02</v>
      </c>
      <c r="E1045" s="90" t="s">
        <v>753</v>
      </c>
    </row>
    <row r="1046" spans="3:5" x14ac:dyDescent="0.25">
      <c r="C1046" s="91">
        <v>1</v>
      </c>
      <c r="D1046" s="32">
        <v>803</v>
      </c>
      <c r="E1046" s="97" t="s">
        <v>754</v>
      </c>
    </row>
    <row r="1047" spans="3:5" x14ac:dyDescent="0.25">
      <c r="C1047" s="92">
        <v>2</v>
      </c>
      <c r="D1047" s="32">
        <v>803.01</v>
      </c>
      <c r="E1047" s="90" t="s">
        <v>754</v>
      </c>
    </row>
    <row r="1048" spans="3:5" x14ac:dyDescent="0.25">
      <c r="C1048" s="92">
        <v>2</v>
      </c>
      <c r="D1048" s="32">
        <v>803.02</v>
      </c>
      <c r="E1048" s="90" t="s">
        <v>755</v>
      </c>
    </row>
    <row r="1049" spans="3:5" x14ac:dyDescent="0.25">
      <c r="C1049" s="91">
        <v>1</v>
      </c>
      <c r="D1049" s="32">
        <v>804</v>
      </c>
      <c r="E1049" s="97" t="s">
        <v>756</v>
      </c>
    </row>
    <row r="1050" spans="3:5" x14ac:dyDescent="0.25">
      <c r="C1050" s="92">
        <v>2</v>
      </c>
      <c r="D1050" s="32">
        <v>804.01</v>
      </c>
      <c r="E1050" s="90" t="s">
        <v>757</v>
      </c>
    </row>
    <row r="1051" spans="3:5" x14ac:dyDescent="0.25">
      <c r="C1051" s="92">
        <v>2</v>
      </c>
      <c r="D1051" s="32">
        <v>804.02</v>
      </c>
      <c r="E1051" s="90" t="s">
        <v>758</v>
      </c>
    </row>
    <row r="1052" spans="3:5" x14ac:dyDescent="0.25">
      <c r="C1052" s="91">
        <v>1</v>
      </c>
      <c r="D1052" s="32">
        <v>805</v>
      </c>
      <c r="E1052" s="97" t="s">
        <v>759</v>
      </c>
    </row>
    <row r="1053" spans="3:5" x14ac:dyDescent="0.25">
      <c r="C1053" s="92">
        <v>2</v>
      </c>
      <c r="D1053" s="32">
        <v>805.01</v>
      </c>
      <c r="E1053" s="90" t="s">
        <v>759</v>
      </c>
    </row>
    <row r="1054" spans="3:5" x14ac:dyDescent="0.25">
      <c r="C1054" s="92">
        <v>2</v>
      </c>
      <c r="D1054" s="32">
        <v>805.02</v>
      </c>
      <c r="E1054" s="90" t="s">
        <v>760</v>
      </c>
    </row>
    <row r="1055" spans="3:5" x14ac:dyDescent="0.25">
      <c r="C1055" s="91">
        <v>1</v>
      </c>
      <c r="D1055" s="32">
        <v>806</v>
      </c>
      <c r="E1055" s="97" t="s">
        <v>761</v>
      </c>
    </row>
    <row r="1056" spans="3:5" x14ac:dyDescent="0.25">
      <c r="C1056" s="92">
        <v>2</v>
      </c>
      <c r="D1056" s="32">
        <v>806.01</v>
      </c>
      <c r="E1056" s="90" t="s">
        <v>762</v>
      </c>
    </row>
    <row r="1057" spans="3:5" x14ac:dyDescent="0.25">
      <c r="C1057" s="92">
        <v>2</v>
      </c>
      <c r="D1057" s="32">
        <v>806.02</v>
      </c>
      <c r="E1057" s="90" t="s">
        <v>763</v>
      </c>
    </row>
    <row r="1058" spans="3:5" x14ac:dyDescent="0.25">
      <c r="C1058" s="91">
        <v>1</v>
      </c>
      <c r="D1058" s="32">
        <v>807</v>
      </c>
      <c r="E1058" s="97" t="s">
        <v>764</v>
      </c>
    </row>
    <row r="1059" spans="3:5" x14ac:dyDescent="0.25">
      <c r="C1059" s="92">
        <v>2</v>
      </c>
      <c r="D1059" s="32">
        <v>807.01</v>
      </c>
      <c r="E1059" s="90" t="s">
        <v>764</v>
      </c>
    </row>
    <row r="1060" spans="3:5" x14ac:dyDescent="0.25">
      <c r="C1060" s="92">
        <v>2</v>
      </c>
      <c r="D1060" s="32">
        <v>807.02</v>
      </c>
      <c r="E1060" s="90" t="s">
        <v>765</v>
      </c>
    </row>
    <row r="1061" spans="3:5" x14ac:dyDescent="0.25">
      <c r="C1061" s="91">
        <v>1</v>
      </c>
      <c r="D1061" s="32">
        <v>808</v>
      </c>
      <c r="E1061" s="97" t="s">
        <v>766</v>
      </c>
    </row>
    <row r="1062" spans="3:5" x14ac:dyDescent="0.25">
      <c r="C1062" s="92">
        <v>2</v>
      </c>
      <c r="D1062" s="32">
        <v>808.01</v>
      </c>
      <c r="E1062" s="90" t="s">
        <v>766</v>
      </c>
    </row>
    <row r="1063" spans="3:5" x14ac:dyDescent="0.25">
      <c r="C1063" s="92">
        <v>2</v>
      </c>
      <c r="D1063" s="32">
        <v>808.02</v>
      </c>
      <c r="E1063" s="90" t="s">
        <v>767</v>
      </c>
    </row>
    <row r="1064" spans="3:5" x14ac:dyDescent="0.25">
      <c r="C1064" s="91">
        <v>1</v>
      </c>
      <c r="D1064" s="32">
        <v>809</v>
      </c>
      <c r="E1064" s="97" t="s">
        <v>768</v>
      </c>
    </row>
    <row r="1065" spans="3:5" x14ac:dyDescent="0.25">
      <c r="C1065" s="92">
        <v>2</v>
      </c>
      <c r="D1065" s="32">
        <v>809.01</v>
      </c>
      <c r="E1065" s="90" t="s">
        <v>768</v>
      </c>
    </row>
    <row r="1066" spans="3:5" x14ac:dyDescent="0.25">
      <c r="C1066" s="92">
        <v>2</v>
      </c>
      <c r="D1066" s="32">
        <v>809.02</v>
      </c>
      <c r="E1066" s="90" t="s">
        <v>769</v>
      </c>
    </row>
    <row r="1067" spans="3:5" x14ac:dyDescent="0.25">
      <c r="C1067" s="91">
        <v>1</v>
      </c>
      <c r="D1067" s="32">
        <v>810</v>
      </c>
      <c r="E1067" s="97" t="s">
        <v>770</v>
      </c>
    </row>
    <row r="1068" spans="3:5" x14ac:dyDescent="0.25">
      <c r="C1068" s="92">
        <v>2</v>
      </c>
      <c r="D1068" s="32">
        <v>810.01</v>
      </c>
      <c r="E1068" s="90" t="s">
        <v>770</v>
      </c>
    </row>
    <row r="1069" spans="3:5" x14ac:dyDescent="0.25">
      <c r="C1069" s="92">
        <v>2</v>
      </c>
      <c r="D1069" s="32">
        <v>810.02</v>
      </c>
      <c r="E1069" s="90" t="s">
        <v>771</v>
      </c>
    </row>
    <row r="1070" spans="3:5" x14ac:dyDescent="0.25">
      <c r="C1070" s="91">
        <v>1</v>
      </c>
      <c r="D1070" s="32">
        <v>811</v>
      </c>
      <c r="E1070" s="97" t="s">
        <v>772</v>
      </c>
    </row>
    <row r="1071" spans="3:5" x14ac:dyDescent="0.25">
      <c r="C1071" s="92">
        <v>2</v>
      </c>
      <c r="D1071" s="32">
        <v>811.01</v>
      </c>
      <c r="E1071" s="90" t="s">
        <v>772</v>
      </c>
    </row>
    <row r="1072" spans="3:5" x14ac:dyDescent="0.25">
      <c r="C1072" s="92">
        <v>2</v>
      </c>
      <c r="D1072" s="32">
        <v>811.02</v>
      </c>
      <c r="E1072" s="90" t="s">
        <v>773</v>
      </c>
    </row>
    <row r="1073" spans="3:5" x14ac:dyDescent="0.25">
      <c r="C1073" s="91">
        <v>1</v>
      </c>
      <c r="D1073" s="32">
        <v>812</v>
      </c>
      <c r="E1073" s="97" t="s">
        <v>774</v>
      </c>
    </row>
    <row r="1074" spans="3:5" x14ac:dyDescent="0.25">
      <c r="C1074" s="92">
        <v>2</v>
      </c>
      <c r="D1074" s="32">
        <v>812.01</v>
      </c>
      <c r="E1074" s="90" t="s">
        <v>774</v>
      </c>
    </row>
    <row r="1075" spans="3:5" x14ac:dyDescent="0.25">
      <c r="C1075" s="92">
        <v>2</v>
      </c>
      <c r="D1075" s="32">
        <v>812.02</v>
      </c>
      <c r="E1075" s="90" t="s">
        <v>775</v>
      </c>
    </row>
    <row r="1076" spans="3:5" x14ac:dyDescent="0.25">
      <c r="C1076" s="91">
        <v>1</v>
      </c>
      <c r="D1076" s="32">
        <v>813</v>
      </c>
      <c r="E1076" s="97" t="s">
        <v>776</v>
      </c>
    </row>
    <row r="1077" spans="3:5" x14ac:dyDescent="0.25">
      <c r="C1077" s="92">
        <v>2</v>
      </c>
      <c r="D1077" s="32">
        <v>813.01</v>
      </c>
      <c r="E1077" s="90" t="s">
        <v>776</v>
      </c>
    </row>
    <row r="1078" spans="3:5" x14ac:dyDescent="0.25">
      <c r="C1078" s="92">
        <v>2</v>
      </c>
      <c r="D1078" s="32">
        <v>813.02</v>
      </c>
      <c r="E1078" s="90" t="s">
        <v>777</v>
      </c>
    </row>
    <row r="1079" spans="3:5" x14ac:dyDescent="0.25">
      <c r="C1079" s="91">
        <v>1</v>
      </c>
      <c r="D1079" s="32">
        <v>814</v>
      </c>
      <c r="E1079" s="97" t="s">
        <v>778</v>
      </c>
    </row>
    <row r="1080" spans="3:5" x14ac:dyDescent="0.25">
      <c r="C1080" s="92">
        <v>2</v>
      </c>
      <c r="D1080" s="32">
        <v>814.01</v>
      </c>
      <c r="E1080" s="90" t="s">
        <v>778</v>
      </c>
    </row>
    <row r="1081" spans="3:5" x14ac:dyDescent="0.25">
      <c r="C1081" s="92">
        <v>2</v>
      </c>
      <c r="D1081" s="32">
        <v>814.02</v>
      </c>
      <c r="E1081" s="90" t="s">
        <v>779</v>
      </c>
    </row>
    <row r="1082" spans="3:5" x14ac:dyDescent="0.25">
      <c r="C1082" s="91">
        <v>1</v>
      </c>
      <c r="D1082" s="32">
        <v>815</v>
      </c>
      <c r="E1082" s="97" t="s">
        <v>780</v>
      </c>
    </row>
    <row r="1083" spans="3:5" x14ac:dyDescent="0.25">
      <c r="C1083" s="92">
        <v>2</v>
      </c>
      <c r="D1083" s="32">
        <v>815.01</v>
      </c>
      <c r="E1083" s="90" t="s">
        <v>781</v>
      </c>
    </row>
    <row r="1084" spans="3:5" x14ac:dyDescent="0.25">
      <c r="C1084" s="92">
        <v>2</v>
      </c>
      <c r="D1084" s="32">
        <v>815.02</v>
      </c>
      <c r="E1084" s="90" t="s">
        <v>782</v>
      </c>
    </row>
    <row r="1085" spans="3:5" x14ac:dyDescent="0.25">
      <c r="C1085" s="91">
        <v>1</v>
      </c>
      <c r="D1085" s="32">
        <v>816</v>
      </c>
      <c r="E1085" s="97" t="s">
        <v>783</v>
      </c>
    </row>
    <row r="1086" spans="3:5" x14ac:dyDescent="0.25">
      <c r="C1086" s="92">
        <v>2</v>
      </c>
      <c r="D1086" s="32">
        <v>816.01</v>
      </c>
      <c r="E1086" s="90" t="s">
        <v>784</v>
      </c>
    </row>
    <row r="1087" spans="3:5" x14ac:dyDescent="0.25">
      <c r="C1087" s="92">
        <v>2</v>
      </c>
      <c r="D1087" s="32">
        <v>816.02</v>
      </c>
      <c r="E1087" s="90" t="s">
        <v>785</v>
      </c>
    </row>
    <row r="1088" spans="3:5" x14ac:dyDescent="0.25">
      <c r="C1088" s="91">
        <v>1</v>
      </c>
      <c r="D1088" s="32">
        <v>899</v>
      </c>
      <c r="E1088" s="97" t="s">
        <v>786</v>
      </c>
    </row>
    <row r="1089" spans="3:5" x14ac:dyDescent="0.25">
      <c r="C1089" s="92">
        <v>2</v>
      </c>
      <c r="D1089" s="32">
        <v>899.01</v>
      </c>
      <c r="E1089" s="90" t="s">
        <v>786</v>
      </c>
    </row>
    <row r="1090" spans="3:5" x14ac:dyDescent="0.25">
      <c r="C1090" s="92">
        <v>2</v>
      </c>
      <c r="D1090" s="32">
        <v>899.02</v>
      </c>
      <c r="E1090" s="90" t="s">
        <v>787</v>
      </c>
    </row>
    <row r="1091" spans="3:5" x14ac:dyDescent="0.25">
      <c r="C1091" s="7">
        <v>2</v>
      </c>
      <c r="D1091" s="32">
        <v>807.01</v>
      </c>
      <c r="E1091" s="8" t="s">
        <v>764</v>
      </c>
    </row>
    <row r="1092" spans="3:5" x14ac:dyDescent="0.25">
      <c r="C1092" s="7">
        <v>2</v>
      </c>
      <c r="D1092" s="32">
        <v>807.02</v>
      </c>
      <c r="E1092" s="9" t="s">
        <v>764</v>
      </c>
    </row>
    <row r="1093" spans="3:5" x14ac:dyDescent="0.25">
      <c r="C1093" s="10">
        <v>1</v>
      </c>
      <c r="D1093" s="32">
        <v>808</v>
      </c>
      <c r="E1093" s="9" t="s">
        <v>765</v>
      </c>
    </row>
    <row r="1094" spans="3:5" x14ac:dyDescent="0.25">
      <c r="C1094" s="7">
        <v>2</v>
      </c>
      <c r="D1094" s="32">
        <v>808.01</v>
      </c>
      <c r="E1094" s="8" t="s">
        <v>766</v>
      </c>
    </row>
    <row r="1095" spans="3:5" x14ac:dyDescent="0.25">
      <c r="C1095" s="7">
        <v>2</v>
      </c>
      <c r="D1095" s="32">
        <v>808.02</v>
      </c>
      <c r="E1095" s="9" t="s">
        <v>766</v>
      </c>
    </row>
    <row r="1096" spans="3:5" x14ac:dyDescent="0.25">
      <c r="C1096" s="10">
        <v>1</v>
      </c>
      <c r="D1096" s="32">
        <v>809</v>
      </c>
      <c r="E1096" s="9" t="s">
        <v>767</v>
      </c>
    </row>
    <row r="1097" spans="3:5" x14ac:dyDescent="0.25">
      <c r="C1097" s="7">
        <v>2</v>
      </c>
      <c r="D1097" s="32">
        <v>809.01</v>
      </c>
      <c r="E1097" s="8" t="s">
        <v>768</v>
      </c>
    </row>
    <row r="1098" spans="3:5" x14ac:dyDescent="0.25">
      <c r="C1098" s="7">
        <v>2</v>
      </c>
      <c r="D1098" s="32">
        <v>809.02</v>
      </c>
      <c r="E1098" s="9" t="s">
        <v>768</v>
      </c>
    </row>
    <row r="1099" spans="3:5" x14ac:dyDescent="0.25">
      <c r="C1099" s="10">
        <v>1</v>
      </c>
      <c r="D1099" s="32">
        <v>810</v>
      </c>
      <c r="E1099" s="9" t="s">
        <v>769</v>
      </c>
    </row>
    <row r="1100" spans="3:5" x14ac:dyDescent="0.25">
      <c r="C1100" s="7">
        <v>2</v>
      </c>
      <c r="D1100" s="32">
        <v>810.01</v>
      </c>
      <c r="E1100" s="8" t="s">
        <v>770</v>
      </c>
    </row>
    <row r="1101" spans="3:5" x14ac:dyDescent="0.25">
      <c r="C1101" s="7">
        <v>2</v>
      </c>
      <c r="D1101" s="32">
        <v>810.02</v>
      </c>
      <c r="E1101" s="9" t="s">
        <v>770</v>
      </c>
    </row>
    <row r="1102" spans="3:5" x14ac:dyDescent="0.25">
      <c r="C1102" s="10">
        <v>1</v>
      </c>
      <c r="D1102" s="32">
        <v>811</v>
      </c>
      <c r="E1102" s="9" t="s">
        <v>771</v>
      </c>
    </row>
    <row r="1103" spans="3:5" x14ac:dyDescent="0.25">
      <c r="C1103" s="7">
        <v>2</v>
      </c>
      <c r="D1103" s="32">
        <v>811.01</v>
      </c>
      <c r="E1103" s="8" t="s">
        <v>772</v>
      </c>
    </row>
    <row r="1104" spans="3:5" x14ac:dyDescent="0.25">
      <c r="C1104" s="7">
        <v>2</v>
      </c>
      <c r="D1104" s="32">
        <v>811.02</v>
      </c>
      <c r="E1104" s="9" t="s">
        <v>772</v>
      </c>
    </row>
    <row r="1105" spans="3:5" x14ac:dyDescent="0.25">
      <c r="C1105" s="10">
        <v>1</v>
      </c>
      <c r="D1105" s="32">
        <v>812</v>
      </c>
      <c r="E1105" s="9" t="s">
        <v>773</v>
      </c>
    </row>
    <row r="1106" spans="3:5" x14ac:dyDescent="0.25">
      <c r="C1106" s="7">
        <v>2</v>
      </c>
      <c r="D1106" s="32">
        <v>812.01</v>
      </c>
      <c r="E1106" s="8" t="s">
        <v>774</v>
      </c>
    </row>
    <row r="1107" spans="3:5" x14ac:dyDescent="0.25">
      <c r="C1107" s="7">
        <v>2</v>
      </c>
      <c r="D1107" s="32">
        <v>812.02</v>
      </c>
      <c r="E1107" s="9" t="s">
        <v>774</v>
      </c>
    </row>
    <row r="1108" spans="3:5" x14ac:dyDescent="0.25">
      <c r="C1108" s="10">
        <v>1</v>
      </c>
      <c r="D1108" s="32">
        <v>813</v>
      </c>
      <c r="E1108" s="9" t="s">
        <v>775</v>
      </c>
    </row>
    <row r="1109" spans="3:5" x14ac:dyDescent="0.25">
      <c r="C1109" s="7">
        <v>2</v>
      </c>
      <c r="D1109" s="32">
        <v>813.01</v>
      </c>
      <c r="E1109" s="8" t="s">
        <v>776</v>
      </c>
    </row>
    <row r="1110" spans="3:5" x14ac:dyDescent="0.25">
      <c r="C1110" s="7">
        <v>2</v>
      </c>
      <c r="D1110" s="32">
        <v>813.02</v>
      </c>
      <c r="E1110" s="9" t="s">
        <v>776</v>
      </c>
    </row>
    <row r="1111" spans="3:5" x14ac:dyDescent="0.25">
      <c r="C1111" s="10">
        <v>1</v>
      </c>
      <c r="D1111" s="32">
        <v>814</v>
      </c>
      <c r="E1111" s="9" t="s">
        <v>777</v>
      </c>
    </row>
    <row r="1112" spans="3:5" x14ac:dyDescent="0.25">
      <c r="C1112" s="7">
        <v>2</v>
      </c>
      <c r="D1112" s="32">
        <v>814.01</v>
      </c>
      <c r="E1112" s="8" t="s">
        <v>778</v>
      </c>
    </row>
    <row r="1113" spans="3:5" x14ac:dyDescent="0.25">
      <c r="C1113" s="7">
        <v>2</v>
      </c>
      <c r="D1113" s="32">
        <v>814.02</v>
      </c>
      <c r="E1113" s="9" t="s">
        <v>778</v>
      </c>
    </row>
    <row r="1114" spans="3:5" x14ac:dyDescent="0.25">
      <c r="C1114" s="10">
        <v>1</v>
      </c>
      <c r="D1114" s="32">
        <v>815</v>
      </c>
      <c r="E1114" s="9" t="s">
        <v>779</v>
      </c>
    </row>
    <row r="1115" spans="3:5" x14ac:dyDescent="0.25">
      <c r="C1115" s="7">
        <v>2</v>
      </c>
      <c r="D1115" s="32">
        <v>815.01</v>
      </c>
      <c r="E1115" s="8" t="s">
        <v>780</v>
      </c>
    </row>
    <row r="1116" spans="3:5" x14ac:dyDescent="0.25">
      <c r="C1116" s="7">
        <v>2</v>
      </c>
      <c r="D1116" s="32">
        <v>815.02</v>
      </c>
      <c r="E1116" s="9" t="s">
        <v>781</v>
      </c>
    </row>
    <row r="1117" spans="3:5" x14ac:dyDescent="0.25">
      <c r="C1117" s="7"/>
      <c r="D1117" s="32">
        <v>816</v>
      </c>
      <c r="E1117" s="9" t="s">
        <v>782</v>
      </c>
    </row>
    <row r="1118" spans="3:5" x14ac:dyDescent="0.25">
      <c r="C1118" s="7"/>
      <c r="D1118" s="32">
        <v>816.01</v>
      </c>
      <c r="E1118" s="8" t="s">
        <v>783</v>
      </c>
    </row>
    <row r="1119" spans="3:5" x14ac:dyDescent="0.25">
      <c r="C1119" s="7"/>
      <c r="D1119" s="32">
        <v>816.02</v>
      </c>
      <c r="E1119" s="9" t="s">
        <v>784</v>
      </c>
    </row>
    <row r="1120" spans="3:5" x14ac:dyDescent="0.25">
      <c r="C1120" s="7"/>
      <c r="D1120" s="32">
        <v>899</v>
      </c>
      <c r="E1120" s="9" t="s">
        <v>785</v>
      </c>
    </row>
    <row r="1121" spans="3:5" x14ac:dyDescent="0.25">
      <c r="C1121" s="7"/>
      <c r="D1121" s="32">
        <v>899.01</v>
      </c>
      <c r="E1121" s="8" t="s">
        <v>786</v>
      </c>
    </row>
    <row r="1122" spans="3:5" x14ac:dyDescent="0.25">
      <c r="C1122" s="7"/>
      <c r="D1122" s="32">
        <v>899.02</v>
      </c>
      <c r="E1122" s="9" t="s">
        <v>786</v>
      </c>
    </row>
  </sheetData>
  <sheetProtection selectLockedCells="1" selectUnlockedCells="1"/>
  <phoneticPr fontId="33" type="noConversion"/>
  <dataValidations count="1">
    <dataValidation type="list" allowBlank="1" showInputMessage="1" showErrorMessage="1" sqref="D585:D589 D534 D201 D536 D552" xr:uid="{00000000-0002-0000-0300-000000000000}">
      <formula1>$D$16:$D$1122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82302E"/>
  </sheetPr>
  <dimension ref="A1:L61"/>
  <sheetViews>
    <sheetView showGridLines="0" zoomScale="70" zoomScaleNormal="70" workbookViewId="0">
      <selection activeCell="C21" sqref="C21"/>
    </sheetView>
  </sheetViews>
  <sheetFormatPr baseColWidth="10" defaultRowHeight="15" x14ac:dyDescent="0.25"/>
  <cols>
    <col min="1" max="1" width="30.7109375" style="74" customWidth="1"/>
    <col min="2" max="2" width="2.140625" style="6" customWidth="1"/>
    <col min="3" max="3" width="36.42578125" style="6" customWidth="1"/>
    <col min="4" max="4" width="29" style="105" customWidth="1"/>
    <col min="5" max="5" width="29" style="75" customWidth="1"/>
    <col min="6" max="6" width="19.140625" style="6" customWidth="1"/>
    <col min="7" max="7" width="25" style="6" customWidth="1"/>
    <col min="8" max="8" width="42.5703125" style="6" customWidth="1"/>
    <col min="9" max="9" width="30.42578125" style="6" customWidth="1"/>
    <col min="10" max="10" width="26" style="6" customWidth="1"/>
    <col min="11" max="16384" width="11.42578125" style="6"/>
  </cols>
  <sheetData>
    <row r="1" spans="1:12" ht="18.75" customHeight="1" x14ac:dyDescent="0.55000000000000004">
      <c r="A1" s="116"/>
      <c r="B1" s="54"/>
      <c r="C1" s="54"/>
      <c r="D1" s="101"/>
      <c r="E1" s="102"/>
    </row>
    <row r="2" spans="1:12" ht="22.5" customHeight="1" x14ac:dyDescent="0.55000000000000004">
      <c r="A2" s="116"/>
      <c r="B2" s="54"/>
      <c r="C2" s="54"/>
      <c r="D2" s="101"/>
      <c r="E2" s="102"/>
    </row>
    <row r="3" spans="1:12" ht="15" customHeight="1" x14ac:dyDescent="0.25">
      <c r="A3" s="117"/>
      <c r="B3" s="54"/>
      <c r="C3" s="54"/>
      <c r="D3" s="101"/>
      <c r="E3" s="102"/>
    </row>
    <row r="4" spans="1:12" ht="15" customHeight="1" x14ac:dyDescent="0.25">
      <c r="A4" s="117"/>
      <c r="B4" s="54"/>
      <c r="C4" s="54"/>
      <c r="D4" s="101"/>
      <c r="E4" s="102"/>
    </row>
    <row r="5" spans="1:12" ht="15" customHeight="1" x14ac:dyDescent="0.25">
      <c r="A5" s="117"/>
      <c r="B5" s="54"/>
      <c r="C5" s="54"/>
      <c r="D5" s="101"/>
      <c r="E5" s="102"/>
    </row>
    <row r="6" spans="1:12" ht="15.75" customHeight="1" x14ac:dyDescent="0.25">
      <c r="A6" s="117"/>
      <c r="B6" s="54"/>
      <c r="C6" s="54"/>
      <c r="D6" s="101"/>
      <c r="E6" s="102"/>
    </row>
    <row r="7" spans="1:12" ht="15.75" customHeight="1" x14ac:dyDescent="0.25">
      <c r="A7" s="117"/>
      <c r="B7" s="48"/>
      <c r="C7" s="48"/>
      <c r="D7" s="101"/>
      <c r="E7" s="102"/>
    </row>
    <row r="8" spans="1:12" ht="15.75" customHeight="1" x14ac:dyDescent="0.25">
      <c r="A8" s="117"/>
      <c r="B8" s="48"/>
      <c r="C8" s="48"/>
      <c r="D8" s="101"/>
      <c r="E8" s="102"/>
    </row>
    <row r="9" spans="1:12" x14ac:dyDescent="0.25">
      <c r="A9" s="117"/>
      <c r="B9" s="48"/>
      <c r="C9" s="48"/>
      <c r="D9" s="101"/>
      <c r="E9" s="102"/>
    </row>
    <row r="10" spans="1:12" ht="15.75" customHeight="1" x14ac:dyDescent="0.25">
      <c r="A10" s="117"/>
      <c r="B10" s="48"/>
      <c r="C10" s="48"/>
      <c r="D10" s="103"/>
      <c r="E10" s="104"/>
      <c r="F10" s="103"/>
      <c r="G10" s="103"/>
      <c r="H10" s="103"/>
      <c r="I10" s="103"/>
      <c r="J10" s="103"/>
      <c r="K10" s="48"/>
      <c r="L10" s="48"/>
    </row>
    <row r="11" spans="1:12" ht="21" customHeight="1" x14ac:dyDescent="0.25">
      <c r="A11" s="117"/>
      <c r="B11" s="48"/>
      <c r="C11" s="105" t="str">
        <f>IFERROR(VLOOKUP(C17,'CATALOGO DE CUENTAS GENERAL'!$D$16:D1090,2,TRUE),"")</f>
        <v/>
      </c>
      <c r="D11" s="103"/>
      <c r="E11" s="104"/>
      <c r="F11" s="103"/>
      <c r="G11" s="103"/>
      <c r="H11" s="103"/>
      <c r="I11" s="103"/>
      <c r="J11" s="103"/>
      <c r="K11" s="48"/>
      <c r="L11" s="48"/>
    </row>
    <row r="12" spans="1:12" ht="36" customHeight="1" x14ac:dyDescent="0.25">
      <c r="A12" s="117"/>
      <c r="B12" s="48"/>
      <c r="C12" s="216" t="s">
        <v>845</v>
      </c>
      <c r="D12" s="216"/>
      <c r="E12" s="216"/>
      <c r="F12" s="216"/>
      <c r="G12" s="216"/>
      <c r="H12" s="216"/>
      <c r="I12" s="216"/>
      <c r="J12" s="106"/>
      <c r="K12" s="48"/>
      <c r="L12" s="48"/>
    </row>
    <row r="13" spans="1:12" ht="15" customHeight="1" x14ac:dyDescent="0.25">
      <c r="A13" s="117"/>
      <c r="B13" s="48"/>
      <c r="C13" s="219" t="s">
        <v>11</v>
      </c>
      <c r="D13" s="217">
        <v>2902</v>
      </c>
      <c r="E13" s="217"/>
      <c r="F13" s="218"/>
      <c r="G13" s="219" t="s">
        <v>12</v>
      </c>
      <c r="H13" s="217">
        <v>45594</v>
      </c>
      <c r="I13" s="218"/>
      <c r="J13" s="106"/>
      <c r="K13" s="48"/>
      <c r="L13" s="48"/>
    </row>
    <row r="14" spans="1:12" ht="15" customHeight="1" x14ac:dyDescent="0.25">
      <c r="A14" s="117"/>
      <c r="B14" s="48"/>
      <c r="C14" s="219"/>
      <c r="D14" s="218"/>
      <c r="E14" s="218"/>
      <c r="F14" s="218"/>
      <c r="G14" s="219"/>
      <c r="H14" s="218"/>
      <c r="I14" s="218"/>
      <c r="J14" s="106"/>
      <c r="K14" s="48"/>
      <c r="L14" s="48"/>
    </row>
    <row r="15" spans="1:12" hidden="1" x14ac:dyDescent="0.25">
      <c r="A15" s="117"/>
      <c r="B15" s="48"/>
      <c r="C15" s="107" t="s">
        <v>77</v>
      </c>
      <c r="D15" s="108" t="s">
        <v>78</v>
      </c>
      <c r="E15" s="109" t="s">
        <v>79</v>
      </c>
      <c r="F15" s="110" t="s">
        <v>80</v>
      </c>
      <c r="G15" s="110" t="s">
        <v>81</v>
      </c>
      <c r="H15" s="111" t="s">
        <v>82</v>
      </c>
      <c r="I15" s="112" t="s">
        <v>83</v>
      </c>
      <c r="J15" s="48"/>
      <c r="K15" s="48"/>
    </row>
    <row r="16" spans="1:12" ht="27" customHeight="1" x14ac:dyDescent="0.25">
      <c r="A16" s="117"/>
      <c r="B16" s="48"/>
      <c r="C16" s="118" t="s">
        <v>798</v>
      </c>
      <c r="D16" s="119" t="s">
        <v>6</v>
      </c>
      <c r="E16" s="120" t="s">
        <v>807</v>
      </c>
      <c r="F16" s="120" t="s">
        <v>0</v>
      </c>
      <c r="G16" s="121" t="s">
        <v>1</v>
      </c>
      <c r="H16" s="121"/>
      <c r="I16" s="122"/>
      <c r="J16" s="51"/>
      <c r="K16" s="48"/>
    </row>
    <row r="17" spans="1:12" x14ac:dyDescent="0.25">
      <c r="A17" s="117"/>
      <c r="B17" s="48"/>
      <c r="C17" s="12">
        <v>100</v>
      </c>
      <c r="D17" s="47" t="str">
        <f>IFERROR(VLOOKUP(Tabla1[[#This Row],[Columna1]],'CATALOGO DE CUENTAS GENERAL'!$D$16:E1122,2,FALSE),"")</f>
        <v>Activo</v>
      </c>
      <c r="E17" s="20" t="s">
        <v>73</v>
      </c>
      <c r="F17" s="14"/>
      <c r="G17" s="14"/>
      <c r="H17" s="30"/>
      <c r="I17" s="31"/>
      <c r="J17" s="113"/>
      <c r="K17" s="48"/>
    </row>
    <row r="18" spans="1:12" x14ac:dyDescent="0.25">
      <c r="A18" s="117"/>
      <c r="B18" s="48"/>
      <c r="C18" s="12">
        <v>100.01</v>
      </c>
      <c r="D18" s="47" t="str">
        <f>IFERROR(VLOOKUP(Tabla1[[#This Row],[Columna1]],'CATALOGO DE CUENTAS GENERAL'!$D$16:E1123,2,FALSE),"")</f>
        <v>Activo a corto plazo</v>
      </c>
      <c r="E18" s="20" t="s">
        <v>73</v>
      </c>
      <c r="F18" s="14"/>
      <c r="G18" s="14"/>
      <c r="H18" s="15" t="s">
        <v>846</v>
      </c>
      <c r="I18" s="14" t="s">
        <v>848</v>
      </c>
      <c r="J18" s="113"/>
      <c r="K18" s="48"/>
    </row>
    <row r="19" spans="1:12" x14ac:dyDescent="0.25">
      <c r="A19" s="117"/>
      <c r="B19" s="48"/>
      <c r="C19" s="12">
        <v>102</v>
      </c>
      <c r="D19" s="47" t="str">
        <f>IFERROR(VLOOKUP(Tabla1[[#This Row],[Columna1]],'CATALOGO DE CUENTAS GENERAL'!$D$16:E1124,2,FALSE),"")</f>
        <v>Bancos</v>
      </c>
      <c r="E19" s="20" t="s">
        <v>73</v>
      </c>
      <c r="F19" s="14">
        <v>100000</v>
      </c>
      <c r="G19" s="14"/>
      <c r="H19" s="15">
        <v>100000</v>
      </c>
      <c r="I19" s="14">
        <v>100000</v>
      </c>
      <c r="J19" s="113"/>
      <c r="K19" s="48"/>
    </row>
    <row r="20" spans="1:12" x14ac:dyDescent="0.25">
      <c r="A20" s="117"/>
      <c r="B20" s="48"/>
      <c r="C20" s="12">
        <v>300</v>
      </c>
      <c r="D20" s="47" t="str">
        <f>IFERROR(VLOOKUP(Tabla1[[#This Row],[Columna1]],'CATALOGO DE CUENTAS GENERAL'!$D$16:E1125,2,FALSE),"")</f>
        <v>Capital contable</v>
      </c>
      <c r="E20" s="20" t="s">
        <v>76</v>
      </c>
      <c r="F20" s="14"/>
      <c r="G20" s="14">
        <v>100000</v>
      </c>
      <c r="H20" s="15" t="s">
        <v>847</v>
      </c>
      <c r="I20" s="14"/>
      <c r="J20" s="113"/>
      <c r="K20" s="48"/>
    </row>
    <row r="21" spans="1:12" x14ac:dyDescent="0.25">
      <c r="A21" s="117"/>
      <c r="B21" s="48"/>
      <c r="C21" s="12"/>
      <c r="D21" s="47" t="str">
        <f>IFERROR(VLOOKUP(Tabla1[[#This Row],[Columna1]],'CATALOGO DE CUENTAS GENERAL'!$D$16:E1126,2,FALSE),"")</f>
        <v/>
      </c>
      <c r="E21" s="20"/>
      <c r="F21" s="14"/>
      <c r="G21" s="14"/>
      <c r="H21" s="15">
        <v>0</v>
      </c>
      <c r="I21" s="14" t="s">
        <v>849</v>
      </c>
      <c r="J21" s="113"/>
      <c r="K21" s="48"/>
    </row>
    <row r="22" spans="1:12" x14ac:dyDescent="0.25">
      <c r="A22" s="117"/>
      <c r="B22" s="48"/>
      <c r="C22" s="12"/>
      <c r="D22" s="47" t="str">
        <f>IFERROR(VLOOKUP(Tabla1[[#This Row],[Columna1]],'CATALOGO DE CUENTAS GENERAL'!$D$16:E1127,2,FALSE),"")</f>
        <v/>
      </c>
      <c r="E22" s="20"/>
      <c r="F22" s="14"/>
      <c r="G22" s="14"/>
      <c r="H22" s="15"/>
      <c r="I22" s="14">
        <v>0</v>
      </c>
      <c r="J22" s="113"/>
      <c r="K22" s="48"/>
    </row>
    <row r="23" spans="1:12" x14ac:dyDescent="0.25">
      <c r="A23" s="117"/>
      <c r="B23" s="48"/>
      <c r="C23" s="12"/>
      <c r="D23" s="47" t="str">
        <f>IFERROR(VLOOKUP(Tabla1[[#This Row],[Columna1]],'CATALOGO DE CUENTAS GENERAL'!$D$16:E1128,2,FALSE),"")</f>
        <v/>
      </c>
      <c r="E23" s="20"/>
      <c r="F23" s="14"/>
      <c r="G23" s="14"/>
      <c r="H23" s="15"/>
      <c r="I23" s="14"/>
      <c r="J23" s="113"/>
      <c r="K23" s="48"/>
    </row>
    <row r="24" spans="1:12" ht="15" customHeight="1" x14ac:dyDescent="0.25">
      <c r="A24" s="117"/>
      <c r="B24" s="48"/>
      <c r="C24" s="12"/>
      <c r="D24" s="47" t="str">
        <f>IFERROR(VLOOKUP(Tabla1[[#This Row],[Columna1]],'CATALOGO DE CUENTAS GENERAL'!$D$16:E1129,2,FALSE),"")</f>
        <v/>
      </c>
      <c r="E24" s="20"/>
      <c r="F24" s="14"/>
      <c r="G24" s="14"/>
      <c r="H24" s="15"/>
      <c r="I24" s="14" t="s">
        <v>4</v>
      </c>
      <c r="J24" s="113"/>
      <c r="K24" s="48"/>
    </row>
    <row r="25" spans="1:12" x14ac:dyDescent="0.25">
      <c r="A25" s="117"/>
      <c r="B25" s="48"/>
      <c r="C25" s="12"/>
      <c r="D25" s="47" t="str">
        <f>IFERROR(VLOOKUP(Tabla1[[#This Row],[Columna1]],'CATALOGO DE CUENTAS GENERAL'!$D$16:E1130,2,FALSE),"")</f>
        <v/>
      </c>
      <c r="E25" s="20"/>
      <c r="F25" s="14"/>
      <c r="G25" s="14"/>
      <c r="H25" s="15"/>
      <c r="I25" s="14">
        <v>100000</v>
      </c>
      <c r="J25" s="113"/>
      <c r="K25" s="48"/>
    </row>
    <row r="26" spans="1:12" x14ac:dyDescent="0.25">
      <c r="A26" s="117"/>
      <c r="B26" s="48"/>
      <c r="C26" s="12"/>
      <c r="D26" s="47" t="str">
        <f>IFERROR(VLOOKUP(Tabla1[[#This Row],[Columna1]],'CATALOGO DE CUENTAS GENERAL'!$D$16:E1131,2,FALSE),"")</f>
        <v/>
      </c>
      <c r="E26" s="20"/>
      <c r="F26" s="14"/>
      <c r="G26" s="14"/>
      <c r="H26" s="15"/>
      <c r="I26" s="14"/>
      <c r="J26" s="113"/>
      <c r="K26" s="48"/>
    </row>
    <row r="27" spans="1:12" x14ac:dyDescent="0.25">
      <c r="A27" s="117"/>
      <c r="B27" s="48"/>
      <c r="C27" s="12"/>
      <c r="D27" s="47" t="str">
        <f>IFERROR(VLOOKUP(Tabla1[[#This Row],[Columna1]],'CATALOGO DE CUENTAS GENERAL'!$D$16:E1132,2,FALSE),"")</f>
        <v/>
      </c>
      <c r="E27" s="20"/>
      <c r="F27" s="14"/>
      <c r="G27" s="14"/>
      <c r="H27" s="15"/>
      <c r="I27" s="14"/>
      <c r="J27" s="113"/>
      <c r="K27" s="48"/>
    </row>
    <row r="28" spans="1:12" x14ac:dyDescent="0.25">
      <c r="A28" s="117"/>
      <c r="B28" s="48"/>
      <c r="C28" s="12"/>
      <c r="D28" s="47" t="str">
        <f>IFERROR(VLOOKUP(Tabla1[[#This Row],[Columna1]],'CATALOGO DE CUENTAS GENERAL'!$D$16:E1133,2,FALSE),"")</f>
        <v/>
      </c>
      <c r="E28" s="20"/>
      <c r="F28" s="14"/>
      <c r="G28" s="14"/>
      <c r="H28" s="15"/>
      <c r="I28" s="14"/>
      <c r="J28" s="113"/>
      <c r="K28" s="48"/>
    </row>
    <row r="29" spans="1:12" x14ac:dyDescent="0.25">
      <c r="A29" s="117"/>
      <c r="B29" s="48"/>
      <c r="C29" s="12"/>
      <c r="D29" s="47" t="str">
        <f>IFERROR(VLOOKUP(Tabla1[[#This Row],[Columna1]],'CATALOGO DE CUENTAS GENERAL'!$D$16:E1134,2,FALSE),"")</f>
        <v/>
      </c>
      <c r="E29" s="20"/>
      <c r="F29" s="19"/>
      <c r="G29" s="14"/>
      <c r="H29" s="15"/>
      <c r="I29" s="14"/>
      <c r="J29" s="113"/>
      <c r="K29" s="48"/>
    </row>
    <row r="30" spans="1:12" ht="15" customHeight="1" x14ac:dyDescent="0.25">
      <c r="A30" s="117"/>
      <c r="B30" s="48"/>
      <c r="C30" s="12"/>
      <c r="D30" s="47" t="str">
        <f>IFERROR(VLOOKUP(Tabla1[[#This Row],[Columna1]],'CATALOGO DE CUENTAS GENERAL'!$D$16:E1135,2,FALSE),"")</f>
        <v/>
      </c>
      <c r="E30" s="20"/>
      <c r="F30" s="14"/>
      <c r="G30" s="14"/>
      <c r="H30" s="15"/>
      <c r="I30" s="14"/>
      <c r="J30" s="113"/>
      <c r="K30" s="48"/>
      <c r="L30" s="48"/>
    </row>
    <row r="31" spans="1:12" x14ac:dyDescent="0.25">
      <c r="C31" s="12"/>
      <c r="D31" s="47" t="str">
        <f>IFERROR(VLOOKUP(Tabla1[[#This Row],[Columna1]],'CATALOGO DE CUENTAS GENERAL'!$D$16:E1136,2,FALSE),"")</f>
        <v/>
      </c>
      <c r="E31" s="20"/>
      <c r="F31" s="14"/>
      <c r="G31" s="14"/>
      <c r="H31" s="15"/>
      <c r="I31" s="14"/>
      <c r="J31" s="114"/>
    </row>
    <row r="32" spans="1:12" x14ac:dyDescent="0.25">
      <c r="C32" s="12"/>
      <c r="D32" s="47" t="str">
        <f>IFERROR(VLOOKUP(Tabla1[[#This Row],[Columna1]],'CATALOGO DE CUENTAS GENERAL'!$D$16:E1137,2,FALSE),"")</f>
        <v/>
      </c>
      <c r="E32" s="20"/>
      <c r="F32" s="14"/>
      <c r="G32" s="14"/>
      <c r="H32" s="15"/>
      <c r="I32" s="14"/>
      <c r="J32" s="114"/>
    </row>
    <row r="33" spans="3:10" x14ac:dyDescent="0.25">
      <c r="C33" s="12"/>
      <c r="D33" s="47" t="str">
        <f>IFERROR(VLOOKUP(Tabla1[[#This Row],[Columna1]],'CATALOGO DE CUENTAS GENERAL'!$D$16:E1138,2,FALSE),"")</f>
        <v/>
      </c>
      <c r="E33" s="21"/>
      <c r="F33" s="14"/>
      <c r="G33" s="14"/>
      <c r="H33" s="14"/>
      <c r="I33" s="14"/>
      <c r="J33" s="114"/>
    </row>
    <row r="34" spans="3:10" x14ac:dyDescent="0.25">
      <c r="C34" s="12"/>
      <c r="D34" s="47" t="str">
        <f>IFERROR(VLOOKUP(Tabla1[[#This Row],[Columna1]],'CATALOGO DE CUENTAS GENERAL'!$D$16:E1139,2,FALSE),"")</f>
        <v/>
      </c>
      <c r="E34" s="21"/>
      <c r="F34" s="14"/>
      <c r="G34" s="14"/>
      <c r="H34" s="14"/>
      <c r="I34" s="14"/>
      <c r="J34" s="114"/>
    </row>
    <row r="35" spans="3:10" x14ac:dyDescent="0.25">
      <c r="C35" s="12"/>
      <c r="D35" s="47" t="str">
        <f>IFERROR(VLOOKUP(Tabla1[[#This Row],[Columna1]],'CATALOGO DE CUENTAS GENERAL'!$D$16:E1140,2,FALSE),"")</f>
        <v/>
      </c>
      <c r="E35" s="22"/>
      <c r="F35" s="16"/>
      <c r="G35" s="16"/>
      <c r="H35" s="16"/>
      <c r="I35" s="17"/>
      <c r="J35" s="114"/>
    </row>
    <row r="36" spans="3:10" x14ac:dyDescent="0.25">
      <c r="C36" s="12"/>
      <c r="D36" s="47" t="str">
        <f>IFERROR(VLOOKUP(Tabla1[[#This Row],[Columna1]],'CATALOGO DE CUENTAS GENERAL'!$D$16:E1141,2,FALSE),"")</f>
        <v/>
      </c>
      <c r="E36" s="21"/>
      <c r="F36" s="14"/>
      <c r="G36" s="14"/>
      <c r="H36" s="14"/>
      <c r="I36" s="14"/>
      <c r="J36" s="114"/>
    </row>
    <row r="37" spans="3:10" x14ac:dyDescent="0.25">
      <c r="C37" s="12"/>
      <c r="D37" s="47" t="str">
        <f>IFERROR(VLOOKUP(Tabla1[[#This Row],[Columna1]],'CATALOGO DE CUENTAS GENERAL'!$D$16:E1142,2,FALSE),"")</f>
        <v/>
      </c>
      <c r="E37" s="22"/>
      <c r="F37" s="16"/>
      <c r="G37" s="16"/>
      <c r="H37" s="16"/>
      <c r="I37" s="17"/>
      <c r="J37" s="114"/>
    </row>
    <row r="38" spans="3:10" x14ac:dyDescent="0.25">
      <c r="C38" s="12"/>
      <c r="D38" s="47" t="str">
        <f>IFERROR(VLOOKUP(Tabla1[[#This Row],[Columna1]],'CATALOGO DE CUENTAS GENERAL'!$D$16:E1143,2,FALSE),"")</f>
        <v/>
      </c>
      <c r="E38" s="22"/>
      <c r="F38" s="16"/>
      <c r="G38" s="16"/>
      <c r="H38" s="16"/>
      <c r="I38" s="17"/>
      <c r="J38" s="114"/>
    </row>
    <row r="39" spans="3:10" x14ac:dyDescent="0.25">
      <c r="C39" s="12"/>
      <c r="D39" s="47" t="str">
        <f>IFERROR(VLOOKUP(Tabla1[[#This Row],[Columna1]],'CATALOGO DE CUENTAS GENERAL'!$D$16:E1144,2,FALSE),"")</f>
        <v/>
      </c>
      <c r="E39" s="22"/>
      <c r="F39" s="16"/>
      <c r="G39" s="16"/>
      <c r="H39" s="16"/>
      <c r="I39" s="17"/>
      <c r="J39" s="114"/>
    </row>
    <row r="40" spans="3:10" x14ac:dyDescent="0.25">
      <c r="C40" s="12"/>
      <c r="D40" s="47" t="str">
        <f>IFERROR(VLOOKUP(Tabla1[[#This Row],[Columna1]],'CATALOGO DE CUENTAS GENERAL'!$D$16:E1145,2,FALSE),"")</f>
        <v/>
      </c>
      <c r="E40" s="22"/>
      <c r="F40" s="16"/>
      <c r="G40" s="16"/>
      <c r="H40" s="16"/>
      <c r="I40" s="17"/>
      <c r="J40" s="114"/>
    </row>
    <row r="41" spans="3:10" x14ac:dyDescent="0.25">
      <c r="C41" s="12"/>
      <c r="D41" s="47" t="str">
        <f>IFERROR(VLOOKUP(Tabla1[[#This Row],[Columna1]],'CATALOGO DE CUENTAS GENERAL'!$D$16:E1146,2,FALSE),"")</f>
        <v/>
      </c>
      <c r="E41" s="22"/>
      <c r="F41" s="16"/>
      <c r="G41" s="16"/>
      <c r="H41" s="16"/>
      <c r="I41" s="17"/>
      <c r="J41" s="114"/>
    </row>
    <row r="42" spans="3:10" x14ac:dyDescent="0.25">
      <c r="C42" s="12"/>
      <c r="D42" s="47" t="str">
        <f>IFERROR(VLOOKUP(Tabla1[[#This Row],[Columna1]],'CATALOGO DE CUENTAS GENERAL'!$D$16:E1147,2,FALSE),"")</f>
        <v/>
      </c>
      <c r="E42" s="22"/>
      <c r="F42" s="16"/>
      <c r="G42" s="16"/>
      <c r="H42" s="16"/>
      <c r="I42" s="17"/>
      <c r="J42" s="114"/>
    </row>
    <row r="43" spans="3:10" x14ac:dyDescent="0.25">
      <c r="C43" s="12"/>
      <c r="D43" s="47" t="str">
        <f>IFERROR(VLOOKUP(Tabla1[[#This Row],[Columna1]],'CATALOGO DE CUENTAS GENERAL'!$D$16:E1148,2,FALSE),"")</f>
        <v/>
      </c>
      <c r="E43" s="22"/>
      <c r="F43" s="16"/>
      <c r="G43" s="16"/>
      <c r="H43" s="16"/>
      <c r="I43" s="17"/>
    </row>
    <row r="44" spans="3:10" x14ac:dyDescent="0.25">
      <c r="C44" s="12"/>
      <c r="D44" s="47" t="str">
        <f>IFERROR(VLOOKUP(Tabla1[[#This Row],[Columna1]],'CATALOGO DE CUENTAS GENERAL'!$D$16:E1149,2,FALSE),"")</f>
        <v/>
      </c>
      <c r="E44" s="22"/>
      <c r="F44" s="16"/>
      <c r="G44" s="16"/>
      <c r="H44" s="16"/>
      <c r="I44" s="17"/>
    </row>
    <row r="45" spans="3:10" x14ac:dyDescent="0.25">
      <c r="C45" s="12"/>
      <c r="D45" s="47" t="str">
        <f>IFERROR(VLOOKUP(Tabla1[[#This Row],[Columna1]],'CATALOGO DE CUENTAS GENERAL'!$D$16:E1150,2,FALSE),"")</f>
        <v/>
      </c>
      <c r="E45" s="22"/>
      <c r="F45" s="16"/>
      <c r="G45" s="16"/>
      <c r="H45" s="16"/>
      <c r="I45" s="17"/>
    </row>
    <row r="46" spans="3:10" x14ac:dyDescent="0.25">
      <c r="C46" s="12"/>
      <c r="D46" s="47" t="str">
        <f>IFERROR(VLOOKUP(Tabla1[[#This Row],[Columna1]],'CATALOGO DE CUENTAS GENERAL'!$D$16:E1151,2,FALSE),"")</f>
        <v/>
      </c>
      <c r="E46" s="22"/>
      <c r="F46" s="16"/>
      <c r="G46" s="16"/>
      <c r="H46" s="16"/>
      <c r="I46" s="17"/>
    </row>
    <row r="47" spans="3:10" x14ac:dyDescent="0.25">
      <c r="C47" s="12"/>
      <c r="D47" s="47" t="str">
        <f>IFERROR(VLOOKUP(Tabla1[[#This Row],[Columna1]],'CATALOGO DE CUENTAS GENERAL'!$D$16:E1152,2,FALSE),"")</f>
        <v/>
      </c>
      <c r="E47" s="22"/>
      <c r="F47" s="16"/>
      <c r="G47" s="16"/>
      <c r="H47" s="16"/>
      <c r="I47" s="17"/>
    </row>
    <row r="48" spans="3:10" x14ac:dyDescent="0.25">
      <c r="C48" s="12"/>
      <c r="D48" s="47" t="str">
        <f>IFERROR(VLOOKUP(Tabla1[[#This Row],[Columna1]],'CATALOGO DE CUENTAS GENERAL'!$D$16:E1153,2,FALSE),"")</f>
        <v/>
      </c>
      <c r="E48" s="22"/>
      <c r="F48" s="16"/>
      <c r="G48" s="16"/>
      <c r="H48" s="16"/>
      <c r="I48" s="17"/>
    </row>
    <row r="49" spans="3:9" x14ac:dyDescent="0.25">
      <c r="C49" s="12"/>
      <c r="D49" s="47" t="str">
        <f>IFERROR(VLOOKUP(Tabla1[[#This Row],[Columna1]],'CATALOGO DE CUENTAS GENERAL'!$D$16:E1154,2,FALSE),"")</f>
        <v/>
      </c>
      <c r="E49" s="22"/>
      <c r="F49" s="16"/>
      <c r="G49" s="16"/>
      <c r="H49" s="16"/>
      <c r="I49" s="17"/>
    </row>
    <row r="50" spans="3:9" x14ac:dyDescent="0.25">
      <c r="C50" s="12"/>
      <c r="D50" s="47" t="str">
        <f>IFERROR(VLOOKUP(Tabla1[[#This Row],[Columna1]],'CATALOGO DE CUENTAS GENERAL'!$D$16:E1155,2,FALSE),"")</f>
        <v/>
      </c>
      <c r="E50" s="22"/>
      <c r="F50" s="16"/>
      <c r="G50" s="16"/>
      <c r="H50" s="16"/>
      <c r="I50" s="17"/>
    </row>
    <row r="51" spans="3:9" x14ac:dyDescent="0.25">
      <c r="C51" s="12"/>
      <c r="D51" s="47" t="str">
        <f>IFERROR(VLOOKUP(Tabla1[[#This Row],[Columna1]],'CATALOGO DE CUENTAS GENERAL'!$D$16:E1156,2,FALSE),"")</f>
        <v/>
      </c>
      <c r="E51" s="22"/>
      <c r="F51" s="16"/>
      <c r="G51" s="16"/>
      <c r="H51" s="16"/>
      <c r="I51" s="17"/>
    </row>
    <row r="52" spans="3:9" x14ac:dyDescent="0.25">
      <c r="C52" s="12"/>
      <c r="D52" s="47" t="str">
        <f>IFERROR(VLOOKUP(Tabla1[[#This Row],[Columna1]],'CATALOGO DE CUENTAS GENERAL'!$D$16:E1157,2,FALSE),"")</f>
        <v/>
      </c>
      <c r="E52" s="22"/>
      <c r="F52" s="16"/>
      <c r="G52" s="16"/>
      <c r="H52" s="16"/>
      <c r="I52" s="17"/>
    </row>
    <row r="53" spans="3:9" x14ac:dyDescent="0.25">
      <c r="C53" s="12"/>
      <c r="D53" s="47" t="str">
        <f>IFERROR(VLOOKUP(Tabla1[[#This Row],[Columna1]],'CATALOGO DE CUENTAS GENERAL'!$D$16:E1158,2,FALSE),"")</f>
        <v/>
      </c>
      <c r="E53" s="22"/>
      <c r="F53" s="16"/>
      <c r="G53" s="16"/>
      <c r="H53" s="16"/>
      <c r="I53" s="17"/>
    </row>
    <row r="54" spans="3:9" x14ac:dyDescent="0.25">
      <c r="C54" s="12"/>
      <c r="D54" s="47" t="str">
        <f>IFERROR(VLOOKUP(Tabla1[[#This Row],[Columna1]],'CATALOGO DE CUENTAS GENERAL'!$D$16:E1159,2,FALSE),"")</f>
        <v/>
      </c>
      <c r="E54" s="22"/>
      <c r="F54" s="16"/>
      <c r="G54" s="16"/>
      <c r="H54" s="16"/>
      <c r="I54" s="17"/>
    </row>
    <row r="55" spans="3:9" x14ac:dyDescent="0.25">
      <c r="C55" s="12"/>
      <c r="D55" s="47" t="str">
        <f>IFERROR(VLOOKUP(Tabla1[[#This Row],[Columna1]],'CATALOGO DE CUENTAS GENERAL'!$D$16:E1160,2,FALSE),"")</f>
        <v/>
      </c>
      <c r="E55" s="22"/>
      <c r="F55" s="16"/>
      <c r="G55" s="16"/>
      <c r="H55" s="16"/>
      <c r="I55" s="17"/>
    </row>
    <row r="56" spans="3:9" x14ac:dyDescent="0.25">
      <c r="C56" s="12"/>
      <c r="D56" s="47" t="str">
        <f>IFERROR(VLOOKUP(Tabla1[[#This Row],[Columna1]],'CATALOGO DE CUENTAS GENERAL'!$D$16:E1161,2,FALSE),"")</f>
        <v/>
      </c>
      <c r="E56" s="22"/>
      <c r="F56" s="16"/>
      <c r="G56" s="16"/>
      <c r="H56" s="16"/>
      <c r="I56" s="17"/>
    </row>
    <row r="57" spans="3:9" x14ac:dyDescent="0.25">
      <c r="C57" s="12"/>
      <c r="D57" s="47" t="str">
        <f>IFERROR(VLOOKUP(Tabla1[[#This Row],[Columna1]],'CATALOGO DE CUENTAS GENERAL'!$D$16:E1162,2,FALSE),"")</f>
        <v/>
      </c>
      <c r="E57" s="22"/>
      <c r="F57" s="16"/>
      <c r="G57" s="16"/>
      <c r="H57" s="16"/>
      <c r="I57" s="17"/>
    </row>
    <row r="58" spans="3:9" x14ac:dyDescent="0.25">
      <c r="C58" s="12"/>
      <c r="D58" s="47" t="str">
        <f>IFERROR(VLOOKUP(Tabla1[[#This Row],[Columna1]],'CATALOGO DE CUENTAS GENERAL'!$D$16:E1163,2,FALSE),"")</f>
        <v/>
      </c>
      <c r="E58" s="22"/>
      <c r="F58" s="16"/>
      <c r="G58" s="16"/>
      <c r="H58" s="16"/>
      <c r="I58" s="17"/>
    </row>
    <row r="59" spans="3:9" x14ac:dyDescent="0.25">
      <c r="C59" s="12"/>
      <c r="D59" s="47" t="str">
        <f>IFERROR(VLOOKUP(Tabla1[[#This Row],[Columna1]],'CATALOGO DE CUENTAS GENERAL'!$D$16:E1164,2,FALSE),"")</f>
        <v/>
      </c>
      <c r="E59" s="22"/>
      <c r="F59" s="16"/>
      <c r="G59" s="16"/>
      <c r="H59" s="16"/>
      <c r="I59" s="17"/>
    </row>
    <row r="60" spans="3:9" x14ac:dyDescent="0.25">
      <c r="C60" s="12"/>
      <c r="D60" s="47" t="str">
        <f>IFERROR(VLOOKUP(Tabla1[[#This Row],[Columna1]],'CATALOGO DE CUENTAS GENERAL'!$D$16:E1165,2,FALSE),"")</f>
        <v/>
      </c>
      <c r="E60" s="22"/>
      <c r="F60" s="16"/>
      <c r="G60" s="16"/>
      <c r="H60" s="16"/>
      <c r="I60" s="17"/>
    </row>
    <row r="61" spans="3:9" x14ac:dyDescent="0.25">
      <c r="F61" s="115"/>
      <c r="G61" s="115"/>
      <c r="H61" s="115"/>
      <c r="I61" s="115"/>
    </row>
  </sheetData>
  <sheetProtection autoFilter="0"/>
  <protectedRanges>
    <protectedRange algorithmName="SHA-512" hashValue="rMUe+k7HCs2sHJVh5vWImePMgkgoAuXObSr15lvbO5yiuL7E6i2+0+V4cHYQYQhBn1S7LtjIX24PMha6Evi0tQ==" saltValue="3OTOdXcgJqkxO8nm/TWJUQ==" spinCount="100000" sqref="D17:D60" name="CUENTAS"/>
  </protectedRanges>
  <mergeCells count="5">
    <mergeCell ref="C12:I12"/>
    <mergeCell ref="D13:F14"/>
    <mergeCell ref="C13:C14"/>
    <mergeCell ref="H13:I14"/>
    <mergeCell ref="G13:G14"/>
  </mergeCells>
  <pageMargins left="0.7" right="0.7" top="0.75" bottom="0.75" header="0.3" footer="0.3"/>
  <pageSetup paperSize="9" orientation="portrait" r:id="rId1"/>
  <ignoredErrors>
    <ignoredError sqref="D16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" operator="containsText" id="{BF0BD89A-7129-45C0-8779-435F362B4A8F}">
            <xm:f>NOT(ISERROR(SEARCH($D$10,D10)))</xm:f>
            <xm:f>$D$10</xm:f>
            <x14:dxf>
              <font>
                <b/>
                <i val="0"/>
              </font>
            </x14:dxf>
          </x14:cfRule>
          <xm:sqref>D10:E11 D16:F16 I18:I32 H16:H32 G29 F17:G28 H33:I60 F30:G60</xm:sqref>
        </x14:conditionalFormatting>
        <x14:conditionalFormatting xmlns:xm="http://schemas.microsoft.com/office/excel/2006/main">
          <x14:cfRule type="containsText" priority="6" operator="containsText" id="{E8B4DD3B-9D6F-4BC4-9381-A724F81E6F3C}">
            <xm:f>NOT(ISERROR(SEARCH($D$10,I17)))</xm:f>
            <xm:f>$D$10</xm:f>
            <x14:dxf>
              <font>
                <b/>
                <i val="0"/>
              </font>
            </x14:dxf>
          </x14:cfRule>
          <xm:sqref>I17</xm:sqref>
        </x14:conditionalFormatting>
        <x14:conditionalFormatting xmlns:xm="http://schemas.microsoft.com/office/excel/2006/main">
          <x14:cfRule type="containsText" priority="4" operator="containsText" id="{E33B9894-9FB9-46C1-901A-3D83E3A8F9D1}">
            <xm:f>NOT(ISERROR(SEARCH($D$10,D15)))</xm:f>
            <xm:f>$D$10</xm:f>
            <x14:dxf>
              <font>
                <b/>
                <i val="0"/>
              </font>
            </x14:dxf>
          </x14:cfRule>
          <xm:sqref>D15:F15 H15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'BASE DE DATOS'!$G$25:$G$28</xm:f>
          </x14:formula1>
          <xm:sqref>E17:E60</xm:sqref>
        </x14:dataValidation>
        <x14:dataValidation type="list" allowBlank="1" showInputMessage="1" showErrorMessage="1" xr:uid="{00000000-0002-0000-0400-000001000000}">
          <x14:formula1>
            <xm:f>'CATALOGO DE CUENTAS GENERAL'!$D$16:$D$1122</xm:f>
          </x14:formula1>
          <xm:sqref>C17:C60</xm:sqref>
        </x14:dataValidation>
        <x14:dataValidation type="list" allowBlank="1" showInputMessage="1" showErrorMessage="1" xr:uid="{00000000-0002-0000-0400-000002000000}">
          <x14:formula1>
            <xm:f>EMPRESA!$A:$A</xm:f>
          </x14:formula1>
          <xm:sqref>C12:I12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rgb="FF82302E"/>
  </sheetPr>
  <dimension ref="A1:AB75"/>
  <sheetViews>
    <sheetView showGridLines="0" zoomScale="70" zoomScaleNormal="70" workbookViewId="0">
      <selection activeCell="D21" sqref="D21"/>
    </sheetView>
  </sheetViews>
  <sheetFormatPr baseColWidth="10" defaultRowHeight="15" x14ac:dyDescent="0.25"/>
  <cols>
    <col min="1" max="1" width="30.7109375" style="136" customWidth="1"/>
    <col min="2" max="2" width="11.42578125" style="124"/>
    <col min="3" max="3" width="18.5703125" style="125" customWidth="1"/>
    <col min="4" max="4" width="26.140625" style="125" customWidth="1"/>
    <col min="5" max="5" width="21" style="126" customWidth="1"/>
    <col min="6" max="6" width="42.28515625" style="127" customWidth="1"/>
    <col min="7" max="7" width="29" style="127" customWidth="1"/>
    <col min="8" max="8" width="32.28515625" style="128" customWidth="1"/>
    <col min="9" max="9" width="37.140625" style="129" customWidth="1"/>
    <col min="10" max="10" width="25.7109375" style="130" customWidth="1"/>
    <col min="11" max="11" width="23" style="130" bestFit="1" customWidth="1"/>
    <col min="12" max="12" width="32.7109375" style="129" customWidth="1"/>
    <col min="13" max="13" width="23" style="124" bestFit="1" customWidth="1"/>
    <col min="14" max="14" width="19.7109375" style="124" customWidth="1"/>
    <col min="15" max="15" width="15.42578125" style="124" bestFit="1" customWidth="1"/>
    <col min="16" max="16384" width="11.42578125" style="124"/>
  </cols>
  <sheetData>
    <row r="1" spans="3:27" ht="15" customHeight="1" x14ac:dyDescent="0.25">
      <c r="F1" s="127" t="s">
        <v>89</v>
      </c>
    </row>
    <row r="2" spans="3:27" ht="15" customHeight="1" x14ac:dyDescent="0.25">
      <c r="F2" s="127" t="s">
        <v>89</v>
      </c>
    </row>
    <row r="3" spans="3:27" ht="15" customHeight="1" x14ac:dyDescent="0.25"/>
    <row r="4" spans="3:27" ht="15" customHeight="1" x14ac:dyDescent="0.25"/>
    <row r="5" spans="3:27" ht="15" customHeight="1" x14ac:dyDescent="0.25"/>
    <row r="6" spans="3:27" ht="15" customHeight="1" x14ac:dyDescent="0.25"/>
    <row r="7" spans="3:27" ht="15" customHeight="1" x14ac:dyDescent="0.25"/>
    <row r="8" spans="3:27" ht="85.5" customHeight="1" x14ac:dyDescent="0.25"/>
    <row r="10" spans="3:27" x14ac:dyDescent="0.25">
      <c r="E10" s="126" t="str">
        <f>IFERROR(VLOOKUP(E18,'CATALOGO DE CUENTAS GENERAL'!$D$16:D1088,2,TRUE),"")</f>
        <v/>
      </c>
    </row>
    <row r="12" spans="3:27" x14ac:dyDescent="0.25">
      <c r="C12" s="125" t="str">
        <f>IFERROR(VLOOKUP(E18,'CATALOGO DE CUENTAS GENERAL'!$D$16:D1091,2,TRUE),"")</f>
        <v/>
      </c>
    </row>
    <row r="13" spans="3:27" ht="34.5" customHeight="1" x14ac:dyDescent="0.25">
      <c r="C13" s="216" t="str">
        <f>'BALANCE GENERAL'!C12:I12</f>
        <v xml:space="preserve">la flor del maiz </v>
      </c>
      <c r="D13" s="216"/>
      <c r="E13" s="216"/>
      <c r="F13" s="216"/>
      <c r="G13" s="216"/>
      <c r="H13" s="216"/>
      <c r="I13" s="216"/>
      <c r="J13" s="216"/>
      <c r="K13" s="216"/>
      <c r="L13" s="216"/>
    </row>
    <row r="14" spans="3:27" ht="30.75" customHeight="1" x14ac:dyDescent="0.25">
      <c r="C14" s="141" t="s">
        <v>11</v>
      </c>
      <c r="D14" s="220">
        <v>45594</v>
      </c>
      <c r="E14" s="220"/>
      <c r="F14" s="220"/>
      <c r="G14" s="220"/>
      <c r="H14" s="142" t="s">
        <v>12</v>
      </c>
      <c r="I14" s="220">
        <v>45594</v>
      </c>
      <c r="J14" s="220"/>
      <c r="K14" s="220"/>
      <c r="L14" s="220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</row>
    <row r="15" spans="3:27" ht="15" customHeight="1" x14ac:dyDescent="0.25">
      <c r="C15" s="221"/>
      <c r="D15" s="221"/>
      <c r="E15" s="221"/>
      <c r="F15" s="221"/>
      <c r="G15" s="221"/>
      <c r="H15" s="221"/>
      <c r="I15" s="221"/>
      <c r="J15" s="221"/>
      <c r="K15" s="221"/>
      <c r="L15" s="22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</row>
    <row r="16" spans="3:27" ht="15" customHeight="1" x14ac:dyDescent="0.25">
      <c r="C16" s="221"/>
      <c r="D16" s="221"/>
      <c r="E16" s="221"/>
      <c r="F16" s="221"/>
      <c r="G16" s="221"/>
      <c r="H16" s="221"/>
      <c r="I16" s="221"/>
      <c r="J16" s="221"/>
      <c r="K16" s="221"/>
      <c r="L16" s="22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</row>
    <row r="17" spans="1:28" ht="23.25" customHeight="1" x14ac:dyDescent="0.25">
      <c r="C17" s="138" t="s">
        <v>7</v>
      </c>
      <c r="D17" s="138" t="s">
        <v>65</v>
      </c>
      <c r="E17" s="138" t="s">
        <v>5</v>
      </c>
      <c r="F17" s="139" t="s">
        <v>6</v>
      </c>
      <c r="G17" s="140" t="s">
        <v>75</v>
      </c>
      <c r="H17" s="138" t="s">
        <v>0</v>
      </c>
      <c r="I17" s="138" t="s">
        <v>1</v>
      </c>
      <c r="J17" s="138" t="s">
        <v>69</v>
      </c>
      <c r="K17" s="138" t="s">
        <v>2</v>
      </c>
      <c r="L17" s="138" t="s">
        <v>826</v>
      </c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</row>
    <row r="18" spans="1:28" ht="15" customHeight="1" x14ac:dyDescent="0.25">
      <c r="C18" s="23">
        <v>45733</v>
      </c>
      <c r="D18" s="132" t="s">
        <v>66</v>
      </c>
      <c r="E18" s="28">
        <v>100.01</v>
      </c>
      <c r="F18" s="69" t="str">
        <f>IFERROR(VLOOKUP(E18,'CATALOGO DE CUENTAS GENERAL'!$D$16:E1123,2,FALSE),"")</f>
        <v>Activo a corto plazo</v>
      </c>
      <c r="G18" s="24" t="s">
        <v>73</v>
      </c>
      <c r="H18" s="29"/>
      <c r="I18" s="29"/>
      <c r="J18" s="29"/>
      <c r="K18" s="29"/>
      <c r="L18" s="33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</row>
    <row r="19" spans="1:28" ht="15" customHeight="1" x14ac:dyDescent="0.25">
      <c r="C19" s="23">
        <v>45733</v>
      </c>
      <c r="D19" s="132" t="s">
        <v>66</v>
      </c>
      <c r="E19" s="28">
        <v>102</v>
      </c>
      <c r="F19" s="69" t="str">
        <f>IFERROR(VLOOKUP(E19,'CATALOGO DE CUENTAS GENERAL'!$D$16:E1124,2,FALSE),"")</f>
        <v>Bancos</v>
      </c>
      <c r="G19" s="24" t="s">
        <v>73</v>
      </c>
      <c r="H19" s="29">
        <v>100000</v>
      </c>
      <c r="I19" s="29"/>
      <c r="J19" s="29"/>
      <c r="K19" s="29"/>
      <c r="L19" s="33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</row>
    <row r="20" spans="1:28" ht="15" customHeight="1" x14ac:dyDescent="0.25">
      <c r="C20" s="23">
        <v>45733</v>
      </c>
      <c r="D20" s="132" t="s">
        <v>66</v>
      </c>
      <c r="E20" s="28">
        <v>300</v>
      </c>
      <c r="F20" s="69" t="str">
        <f>IFERROR(VLOOKUP(E20,'CATALOGO DE CUENTAS GENERAL'!$D$16:E1125,2,FALSE),"")</f>
        <v>Capital contable</v>
      </c>
      <c r="G20" s="24" t="s">
        <v>76</v>
      </c>
      <c r="H20" s="29"/>
      <c r="I20" s="29">
        <v>100000</v>
      </c>
      <c r="J20" s="29"/>
      <c r="K20" s="29"/>
      <c r="L20" s="33"/>
      <c r="M20" s="123"/>
      <c r="N20" s="123"/>
      <c r="O20" s="123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</row>
    <row r="21" spans="1:28" x14ac:dyDescent="0.25">
      <c r="C21" s="23">
        <v>45733</v>
      </c>
      <c r="D21" s="132">
        <v>2</v>
      </c>
      <c r="E21" s="28">
        <v>115</v>
      </c>
      <c r="F21" s="69" t="str">
        <f>IFERROR(VLOOKUP(E21,'CATALOGO DE CUENTAS GENERAL'!$D$16:E1126,2,FALSE),"")</f>
        <v>Inventario</v>
      </c>
      <c r="G21" s="24" t="s">
        <v>73</v>
      </c>
      <c r="H21" s="29">
        <v>30000</v>
      </c>
      <c r="I21" s="29"/>
      <c r="J21" s="29"/>
      <c r="K21" s="29"/>
      <c r="L21" s="33"/>
      <c r="M21" s="123"/>
      <c r="N21" s="123"/>
      <c r="O21" s="123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</row>
    <row r="22" spans="1:28" x14ac:dyDescent="0.25">
      <c r="C22" s="23">
        <v>45733</v>
      </c>
      <c r="D22" s="132">
        <v>2</v>
      </c>
      <c r="E22" s="28">
        <v>102</v>
      </c>
      <c r="F22" s="69" t="str">
        <f>IFERROR(VLOOKUP(E22,'CATALOGO DE CUENTAS GENERAL'!$D$16:E1127,2,FALSE),"")</f>
        <v>Bancos</v>
      </c>
      <c r="G22" s="24" t="s">
        <v>73</v>
      </c>
      <c r="H22" s="29"/>
      <c r="I22" s="29">
        <v>30000</v>
      </c>
      <c r="J22" s="29"/>
      <c r="K22" s="29"/>
      <c r="L22" s="33"/>
      <c r="M22" s="123"/>
      <c r="N22" s="123"/>
      <c r="O22" s="123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</row>
    <row r="23" spans="1:28" x14ac:dyDescent="0.25">
      <c r="C23" s="23">
        <v>45733</v>
      </c>
      <c r="D23" s="132">
        <v>3</v>
      </c>
      <c r="E23" s="28">
        <v>115</v>
      </c>
      <c r="F23" s="69" t="str">
        <f>IFERROR(VLOOKUP(E23,'CATALOGO DE CUENTAS GENERAL'!$D$16:E1128,2,FALSE),"")</f>
        <v>Inventario</v>
      </c>
      <c r="G23" s="24" t="s">
        <v>73</v>
      </c>
      <c r="H23" s="29">
        <v>50000</v>
      </c>
      <c r="I23" s="29"/>
      <c r="J23" s="29"/>
      <c r="K23" s="29"/>
      <c r="L23" s="33"/>
      <c r="M23" s="123"/>
      <c r="N23" s="123"/>
      <c r="O23" s="123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</row>
    <row r="24" spans="1:28" ht="15" customHeight="1" x14ac:dyDescent="0.25">
      <c r="C24" s="23">
        <v>45733</v>
      </c>
      <c r="D24" s="132">
        <v>3</v>
      </c>
      <c r="E24" s="28">
        <v>115</v>
      </c>
      <c r="F24" s="69" t="str">
        <f>IFERROR(VLOOKUP(E24,'CATALOGO DE CUENTAS GENERAL'!$D$16:E1129,2,FALSE),"")</f>
        <v>Inventario</v>
      </c>
      <c r="G24" s="24" t="s">
        <v>73</v>
      </c>
      <c r="H24" s="29"/>
      <c r="I24" s="29">
        <v>50000</v>
      </c>
      <c r="J24" s="29"/>
      <c r="K24" s="29"/>
      <c r="L24" s="33"/>
      <c r="M24" s="123"/>
      <c r="N24" s="123"/>
      <c r="O24" s="123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</row>
    <row r="25" spans="1:28" x14ac:dyDescent="0.25">
      <c r="C25" s="23">
        <v>45733</v>
      </c>
      <c r="D25" s="132">
        <v>4</v>
      </c>
      <c r="E25" s="28">
        <v>102</v>
      </c>
      <c r="F25" s="69" t="str">
        <f>IFERROR(VLOOKUP(E25,'CATALOGO DE CUENTAS GENERAL'!$D$16:E1130,2,FALSE),"")</f>
        <v>Bancos</v>
      </c>
      <c r="G25" s="24" t="s">
        <v>73</v>
      </c>
      <c r="H25" s="29">
        <v>10000</v>
      </c>
      <c r="I25" s="29"/>
      <c r="J25" s="29"/>
      <c r="K25" s="29"/>
      <c r="L25" s="33"/>
      <c r="M25" s="123"/>
      <c r="N25" s="123"/>
      <c r="O25" s="123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</row>
    <row r="26" spans="1:28" x14ac:dyDescent="0.25">
      <c r="C26" s="23">
        <v>45734</v>
      </c>
      <c r="D26" s="132">
        <v>4</v>
      </c>
      <c r="E26" s="28">
        <v>202</v>
      </c>
      <c r="F26" s="69" t="str">
        <f>IFERROR(VLOOKUP(E26,'CATALOGO DE CUENTAS GENERAL'!$D$16:E1131,2,FALSE),"")</f>
        <v>Cuentas por pagar a corto plazo</v>
      </c>
      <c r="G26" s="24" t="s">
        <v>72</v>
      </c>
      <c r="H26" s="29"/>
      <c r="I26" s="29">
        <v>10000</v>
      </c>
      <c r="J26" s="29"/>
      <c r="K26" s="29"/>
      <c r="L26" s="33"/>
      <c r="M26" s="123"/>
      <c r="N26" s="123"/>
      <c r="O26" s="123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</row>
    <row r="27" spans="1:28" x14ac:dyDescent="0.25">
      <c r="C27" s="23">
        <v>45733</v>
      </c>
      <c r="D27" s="132">
        <v>5</v>
      </c>
      <c r="E27" s="28">
        <v>156</v>
      </c>
      <c r="F27" s="69" t="str">
        <f>IFERROR(VLOOKUP(E27,'CATALOGO DE CUENTAS GENERAL'!$D$16:E1132,2,FALSE),"")</f>
        <v>Equipo de cómputo</v>
      </c>
      <c r="G27" s="24" t="s">
        <v>74</v>
      </c>
      <c r="H27" s="29">
        <v>15000</v>
      </c>
      <c r="I27" s="29"/>
      <c r="J27" s="29"/>
      <c r="K27" s="29"/>
      <c r="L27" s="33"/>
      <c r="M27" s="123"/>
      <c r="N27" s="123"/>
      <c r="O27" s="123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</row>
    <row r="28" spans="1:28" x14ac:dyDescent="0.25">
      <c r="C28" s="23">
        <v>45733</v>
      </c>
      <c r="D28" s="132">
        <v>5</v>
      </c>
      <c r="E28" s="28">
        <v>102</v>
      </c>
      <c r="F28" s="69" t="str">
        <f>IFERROR(VLOOKUP(E28,'CATALOGO DE CUENTAS GENERAL'!$D$16:E1133,2,FALSE),"")</f>
        <v>Bancos</v>
      </c>
      <c r="G28" s="24" t="s">
        <v>73</v>
      </c>
      <c r="H28" s="29"/>
      <c r="I28" s="29">
        <v>15000</v>
      </c>
      <c r="J28" s="29"/>
      <c r="K28" s="29"/>
      <c r="L28" s="33"/>
      <c r="M28" s="123"/>
      <c r="N28" s="123"/>
      <c r="O28" s="123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</row>
    <row r="29" spans="1:28" s="134" customFormat="1" x14ac:dyDescent="0.25">
      <c r="A29" s="137"/>
      <c r="C29" s="23">
        <v>45733</v>
      </c>
      <c r="D29" s="132">
        <v>6</v>
      </c>
      <c r="E29" s="28">
        <v>201</v>
      </c>
      <c r="F29" s="69" t="str">
        <f>IFERROR(VLOOKUP(E29,'CATALOGO DE CUENTAS GENERAL'!$D$16:E1134,2,FALSE),"")</f>
        <v>Proveedores</v>
      </c>
      <c r="G29" s="24" t="s">
        <v>72</v>
      </c>
      <c r="H29" s="29">
        <v>50000</v>
      </c>
      <c r="I29" s="29"/>
      <c r="J29" s="29"/>
      <c r="K29" s="29"/>
      <c r="L29" s="33"/>
      <c r="M29" s="133"/>
      <c r="N29" s="133"/>
      <c r="O29" s="133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</row>
    <row r="30" spans="1:28" s="134" customFormat="1" x14ac:dyDescent="0.25">
      <c r="A30" s="137"/>
      <c r="C30" s="23">
        <v>45733</v>
      </c>
      <c r="D30" s="132">
        <v>6</v>
      </c>
      <c r="E30" s="28">
        <v>102</v>
      </c>
      <c r="F30" s="69" t="str">
        <f>IFERROR(VLOOKUP(E30,'CATALOGO DE CUENTAS GENERAL'!$D$16:E1135,2,FALSE),"")</f>
        <v>Bancos</v>
      </c>
      <c r="G30" s="24" t="s">
        <v>73</v>
      </c>
      <c r="H30" s="29"/>
      <c r="I30" s="29">
        <v>50000</v>
      </c>
      <c r="J30" s="29"/>
      <c r="K30" s="29"/>
      <c r="L30" s="33"/>
      <c r="M30" s="133"/>
      <c r="N30" s="133"/>
      <c r="O30" s="133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</row>
    <row r="31" spans="1:28" s="134" customFormat="1" x14ac:dyDescent="0.25">
      <c r="A31" s="137"/>
      <c r="C31" s="23">
        <v>45733</v>
      </c>
      <c r="D31" s="132">
        <v>7</v>
      </c>
      <c r="E31" s="28">
        <v>105</v>
      </c>
      <c r="F31" s="69" t="str">
        <f>IFERROR(VLOOKUP(E31,'CATALOGO DE CUENTAS GENERAL'!$D$16:E1136,2,FALSE),"")</f>
        <v>Clientes</v>
      </c>
      <c r="G31" s="24" t="s">
        <v>73</v>
      </c>
      <c r="H31" s="29">
        <v>25000</v>
      </c>
      <c r="I31" s="29"/>
      <c r="J31" s="29"/>
      <c r="K31" s="29"/>
      <c r="L31" s="33"/>
      <c r="M31" s="133"/>
      <c r="N31" s="133"/>
      <c r="O31" s="133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</row>
    <row r="32" spans="1:28" s="134" customFormat="1" x14ac:dyDescent="0.25">
      <c r="A32" s="137"/>
      <c r="C32" s="23">
        <v>45733</v>
      </c>
      <c r="D32" s="132">
        <v>7</v>
      </c>
      <c r="E32" s="28">
        <v>401</v>
      </c>
      <c r="F32" s="69" t="str">
        <f>IFERROR(VLOOKUP(E32,'CATALOGO DE CUENTAS GENERAL'!$D$16:E1137,2,FALSE),"")</f>
        <v>Ingresos</v>
      </c>
      <c r="G32" s="24" t="s">
        <v>794</v>
      </c>
      <c r="H32" s="29"/>
      <c r="I32" s="29">
        <v>25000</v>
      </c>
      <c r="J32" s="29"/>
      <c r="K32" s="29"/>
      <c r="L32" s="33"/>
      <c r="M32" s="133"/>
      <c r="N32" s="133"/>
      <c r="O32" s="133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</row>
    <row r="33" spans="3:28" x14ac:dyDescent="0.25">
      <c r="C33" s="23">
        <v>45733</v>
      </c>
      <c r="D33" s="132">
        <v>8</v>
      </c>
      <c r="E33" s="28">
        <v>501</v>
      </c>
      <c r="F33" s="69" t="str">
        <f>IFERROR(VLOOKUP(E33,'CATALOGO DE CUENTAS GENERAL'!$D$16:E1138,2,FALSE),"")</f>
        <v>Costo de venta y/o servicio</v>
      </c>
      <c r="G33" s="24" t="s">
        <v>788</v>
      </c>
      <c r="H33" s="29">
        <v>100000</v>
      </c>
      <c r="I33" s="29"/>
      <c r="J33" s="29"/>
      <c r="K33" s="29"/>
      <c r="L33" s="33"/>
      <c r="M33" s="123"/>
      <c r="N33" s="123"/>
      <c r="O33" s="123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</row>
    <row r="34" spans="3:28" x14ac:dyDescent="0.25">
      <c r="C34" s="23">
        <v>45733</v>
      </c>
      <c r="D34" s="132">
        <v>8</v>
      </c>
      <c r="E34" s="28">
        <v>115</v>
      </c>
      <c r="F34" s="69" t="str">
        <f>IFERROR(VLOOKUP(E34,'CATALOGO DE CUENTAS GENERAL'!$D$16:E1139,2,FALSE),"")</f>
        <v>Inventario</v>
      </c>
      <c r="G34" s="24" t="s">
        <v>73</v>
      </c>
      <c r="H34" s="29"/>
      <c r="I34" s="29">
        <v>100000</v>
      </c>
      <c r="J34" s="29"/>
      <c r="K34" s="29"/>
      <c r="L34" s="33"/>
      <c r="M34" s="123"/>
      <c r="N34" s="123"/>
      <c r="O34" s="123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</row>
    <row r="35" spans="3:28" ht="45" x14ac:dyDescent="0.25">
      <c r="C35" s="23">
        <v>45733</v>
      </c>
      <c r="D35" s="132">
        <v>9</v>
      </c>
      <c r="E35" s="28">
        <v>154</v>
      </c>
      <c r="F35" s="69" t="str">
        <f>IFERROR(VLOOKUP(E35,'CATALOGO DE CUENTAS GENERAL'!$D$16:E1140,2,FALSE),"")</f>
        <v>Automóviles, autobuses, camiones de carga, tractocamiones, montacargas y remolques</v>
      </c>
      <c r="G35" s="24" t="s">
        <v>74</v>
      </c>
      <c r="H35" s="29">
        <v>50000</v>
      </c>
      <c r="I35" s="29"/>
      <c r="J35" s="29"/>
      <c r="K35" s="29"/>
      <c r="L35" s="33"/>
      <c r="M35" s="123"/>
      <c r="N35" s="123"/>
      <c r="O35" s="123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</row>
    <row r="36" spans="3:28" x14ac:dyDescent="0.25">
      <c r="C36" s="23">
        <v>45733</v>
      </c>
      <c r="D36" s="132">
        <v>9</v>
      </c>
      <c r="E36" s="28">
        <v>102</v>
      </c>
      <c r="F36" s="69" t="str">
        <f>IFERROR(VLOOKUP(E36,'CATALOGO DE CUENTAS GENERAL'!$D$16:E1141,2,FALSE),"")</f>
        <v>Bancos</v>
      </c>
      <c r="G36" s="24" t="s">
        <v>73</v>
      </c>
      <c r="H36" s="29"/>
      <c r="I36" s="29">
        <v>50000</v>
      </c>
      <c r="J36" s="29"/>
      <c r="K36" s="29"/>
      <c r="L36" s="33"/>
      <c r="M36" s="123"/>
      <c r="N36" s="123"/>
      <c r="O36" s="123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</row>
    <row r="37" spans="3:28" x14ac:dyDescent="0.25">
      <c r="C37" s="23">
        <v>45733</v>
      </c>
      <c r="D37" s="132">
        <v>10</v>
      </c>
      <c r="E37" s="28">
        <v>401</v>
      </c>
      <c r="F37" s="69" t="str">
        <f>IFERROR(VLOOKUP(E37,'CATALOGO DE CUENTAS GENERAL'!$D$16:E1142,2,FALSE),"")</f>
        <v>Ingresos</v>
      </c>
      <c r="G37" s="24" t="s">
        <v>794</v>
      </c>
      <c r="H37" s="29">
        <v>25000</v>
      </c>
      <c r="I37" s="29"/>
      <c r="J37" s="29"/>
      <c r="K37" s="29"/>
      <c r="L37" s="33"/>
      <c r="M37" s="123"/>
      <c r="N37" s="123"/>
      <c r="O37" s="123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</row>
    <row r="38" spans="3:28" x14ac:dyDescent="0.25">
      <c r="C38" s="23">
        <v>45733</v>
      </c>
      <c r="D38" s="132">
        <v>10</v>
      </c>
      <c r="E38" s="28">
        <v>305</v>
      </c>
      <c r="F38" s="69" t="str">
        <f>IFERROR(VLOOKUP(E38,'CATALOGO DE CUENTAS GENERAL'!$D$16:E1143,2,FALSE),"")</f>
        <v>Resultado del ejercicio</v>
      </c>
      <c r="G38" s="24" t="s">
        <v>76</v>
      </c>
      <c r="H38" s="29"/>
      <c r="I38" s="29">
        <v>25000</v>
      </c>
      <c r="J38" s="29"/>
      <c r="K38" s="29"/>
      <c r="L38" s="33"/>
      <c r="M38" s="123"/>
      <c r="N38" s="123"/>
      <c r="O38" s="123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</row>
    <row r="39" spans="3:28" x14ac:dyDescent="0.25">
      <c r="C39" s="23">
        <v>45733</v>
      </c>
      <c r="D39" s="132">
        <v>11</v>
      </c>
      <c r="E39" s="28">
        <v>305</v>
      </c>
      <c r="F39" s="69" t="str">
        <f>IFERROR(VLOOKUP(E39,'CATALOGO DE CUENTAS GENERAL'!$D$16:E1144,2,FALSE),"")</f>
        <v>Resultado del ejercicio</v>
      </c>
      <c r="G39" s="24" t="s">
        <v>76</v>
      </c>
      <c r="H39" s="29">
        <v>25000</v>
      </c>
      <c r="I39" s="29"/>
      <c r="J39" s="29"/>
      <c r="K39" s="29"/>
      <c r="L39" s="33"/>
      <c r="M39" s="123"/>
      <c r="N39" s="123"/>
      <c r="O39" s="123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</row>
    <row r="40" spans="3:28" x14ac:dyDescent="0.25">
      <c r="C40" s="23">
        <v>45733</v>
      </c>
      <c r="D40" s="132">
        <v>11</v>
      </c>
      <c r="E40" s="28">
        <v>501</v>
      </c>
      <c r="F40" s="69" t="str">
        <f>IFERROR(VLOOKUP(E40,'CATALOGO DE CUENTAS GENERAL'!$D$16:E1145,2,FALSE),"")</f>
        <v>Costo de venta y/o servicio</v>
      </c>
      <c r="G40" s="24" t="s">
        <v>788</v>
      </c>
      <c r="H40" s="29"/>
      <c r="I40" s="29">
        <v>25000</v>
      </c>
      <c r="J40" s="29"/>
      <c r="K40" s="29"/>
      <c r="L40" s="33"/>
      <c r="M40" s="123"/>
      <c r="N40" s="123"/>
      <c r="O40" s="123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</row>
    <row r="41" spans="3:28" x14ac:dyDescent="0.25">
      <c r="C41" s="23">
        <v>45733</v>
      </c>
      <c r="D41" s="132">
        <v>12</v>
      </c>
      <c r="E41" s="28">
        <v>305</v>
      </c>
      <c r="F41" s="69" t="str">
        <f>IFERROR(VLOOKUP(E41,'CATALOGO DE CUENTAS GENERAL'!$D$16:E1146,2,FALSE),"")</f>
        <v>Resultado del ejercicio</v>
      </c>
      <c r="G41" s="24" t="s">
        <v>76</v>
      </c>
      <c r="H41" s="29"/>
      <c r="I41" s="29"/>
      <c r="J41" s="29"/>
      <c r="K41" s="29"/>
      <c r="L41" s="33"/>
      <c r="M41" s="123"/>
      <c r="N41" s="123"/>
      <c r="O41" s="123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</row>
    <row r="42" spans="3:28" x14ac:dyDescent="0.25">
      <c r="C42" s="23">
        <v>45733</v>
      </c>
      <c r="D42" s="132">
        <v>12</v>
      </c>
      <c r="E42" s="28">
        <v>501</v>
      </c>
      <c r="F42" s="69" t="str">
        <f>IFERROR(VLOOKUP(E42,'CATALOGO DE CUENTAS GENERAL'!$D$16:E1147,2,FALSE),"")</f>
        <v>Costo de venta y/o servicio</v>
      </c>
      <c r="G42" s="24" t="s">
        <v>788</v>
      </c>
      <c r="H42" s="29"/>
      <c r="I42" s="29"/>
      <c r="J42" s="29"/>
      <c r="K42" s="29"/>
      <c r="L42" s="33"/>
      <c r="M42" s="123"/>
      <c r="N42" s="123"/>
      <c r="O42" s="123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</row>
    <row r="43" spans="3:28" x14ac:dyDescent="0.25">
      <c r="C43" s="23">
        <v>45733</v>
      </c>
      <c r="D43" s="132"/>
      <c r="E43" s="28"/>
      <c r="F43" s="69" t="str">
        <f>IFERROR(VLOOKUP(E43,'CATALOGO DE CUENTAS GENERAL'!$D$16:E1148,2,FALSE),"")</f>
        <v/>
      </c>
      <c r="G43" s="24"/>
      <c r="H43" s="29">
        <v>500000</v>
      </c>
      <c r="I43" s="29">
        <v>500000</v>
      </c>
      <c r="J43" s="29"/>
      <c r="K43" s="29"/>
      <c r="L43" s="33"/>
      <c r="M43" s="123"/>
      <c r="N43" s="123"/>
      <c r="O43" s="123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</row>
    <row r="44" spans="3:28" x14ac:dyDescent="0.25">
      <c r="C44" s="23">
        <v>45733</v>
      </c>
      <c r="D44" s="132"/>
      <c r="E44" s="28"/>
      <c r="F44" s="69"/>
      <c r="G44" s="24"/>
      <c r="H44" s="29"/>
      <c r="I44" s="29"/>
      <c r="J44" s="29"/>
      <c r="K44" s="29"/>
      <c r="L44" s="33"/>
      <c r="M44" s="123"/>
      <c r="N44" s="123"/>
      <c r="O44" s="123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</row>
    <row r="45" spans="3:28" x14ac:dyDescent="0.25">
      <c r="C45" s="23">
        <v>45733</v>
      </c>
      <c r="D45" s="132"/>
      <c r="E45" s="28"/>
      <c r="F45" s="69" t="str">
        <f>IFERROR(VLOOKUP(E45,'CATALOGO DE CUENTAS GENERAL'!$D$16:E1150,2,FALSE),"")</f>
        <v/>
      </c>
      <c r="G45" s="24"/>
      <c r="H45" s="29"/>
      <c r="I45" s="29"/>
      <c r="J45" s="29"/>
      <c r="K45" s="29"/>
      <c r="L45" s="33"/>
      <c r="M45" s="123"/>
      <c r="N45" s="123"/>
      <c r="O45" s="123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</row>
    <row r="46" spans="3:28" x14ac:dyDescent="0.25">
      <c r="C46" s="23">
        <v>45733</v>
      </c>
      <c r="D46" s="132"/>
      <c r="E46" s="28"/>
      <c r="F46" s="69" t="str">
        <f>IFERROR(VLOOKUP(E46,'CATALOGO DE CUENTAS GENERAL'!$D$16:E1151,2,FALSE),"")</f>
        <v/>
      </c>
      <c r="G46" s="24"/>
      <c r="H46" s="29"/>
      <c r="I46" s="29"/>
      <c r="J46" s="29"/>
      <c r="K46" s="29"/>
      <c r="L46" s="33"/>
      <c r="M46" s="123"/>
      <c r="N46" s="123"/>
      <c r="O46" s="123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</row>
    <row r="47" spans="3:28" x14ac:dyDescent="0.25">
      <c r="C47" s="23">
        <v>45733</v>
      </c>
      <c r="D47" s="132"/>
      <c r="E47" s="28"/>
      <c r="F47" s="69" t="str">
        <f>IFERROR(VLOOKUP(E47,'CATALOGO DE CUENTAS GENERAL'!$D$16:E1152,2,FALSE),"")</f>
        <v/>
      </c>
      <c r="G47" s="24"/>
      <c r="H47" s="29"/>
      <c r="I47" s="29"/>
      <c r="J47" s="29"/>
      <c r="K47" s="29"/>
      <c r="L47" s="33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</row>
    <row r="48" spans="3:28" x14ac:dyDescent="0.25">
      <c r="C48" s="23">
        <v>45733</v>
      </c>
      <c r="D48" s="132"/>
      <c r="E48" s="28"/>
      <c r="F48" s="69" t="str">
        <f>IFERROR(VLOOKUP(E48,'CATALOGO DE CUENTAS GENERAL'!$D$16:E1153,2,FALSE),"")</f>
        <v/>
      </c>
      <c r="G48" s="24"/>
      <c r="H48" s="29"/>
      <c r="I48" s="29"/>
      <c r="J48" s="29"/>
      <c r="K48" s="29"/>
      <c r="L48" s="33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</row>
    <row r="49" spans="3:27" x14ac:dyDescent="0.25">
      <c r="C49" s="23">
        <v>45733</v>
      </c>
      <c r="D49" s="132"/>
      <c r="E49" s="28"/>
      <c r="F49" s="69" t="str">
        <f>IFERROR(VLOOKUP(E49,'CATALOGO DE CUENTAS GENERAL'!$D$16:E1154,2,FALSE),"")</f>
        <v/>
      </c>
      <c r="G49" s="24"/>
      <c r="H49" s="29"/>
      <c r="I49" s="29"/>
      <c r="J49" s="29"/>
      <c r="K49" s="29"/>
      <c r="L49" s="33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</row>
    <row r="50" spans="3:27" x14ac:dyDescent="0.25">
      <c r="C50" s="23">
        <v>45733</v>
      </c>
      <c r="D50" s="132"/>
      <c r="E50" s="28"/>
      <c r="F50" s="69" t="str">
        <f>IFERROR(VLOOKUP(E50,'CATALOGO DE CUENTAS GENERAL'!$D$16:E1155,2,FALSE),"")</f>
        <v/>
      </c>
      <c r="G50" s="24"/>
      <c r="H50" s="29"/>
      <c r="I50" s="29"/>
      <c r="J50" s="29"/>
      <c r="K50" s="29"/>
      <c r="L50" s="33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</row>
    <row r="51" spans="3:27" x14ac:dyDescent="0.25">
      <c r="C51" s="23">
        <v>45733</v>
      </c>
      <c r="D51" s="132"/>
      <c r="E51" s="28"/>
      <c r="F51" s="69" t="str">
        <f>IFERROR(VLOOKUP(E51,'CATALOGO DE CUENTAS GENERAL'!$D$16:E1156,2,FALSE),"")</f>
        <v/>
      </c>
      <c r="G51" s="24"/>
      <c r="H51" s="29"/>
      <c r="I51" s="29"/>
      <c r="J51" s="29"/>
      <c r="K51" s="29"/>
      <c r="L51" s="33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</row>
    <row r="52" spans="3:27" x14ac:dyDescent="0.25">
      <c r="C52" s="23">
        <v>45733</v>
      </c>
      <c r="D52" s="132"/>
      <c r="E52" s="28"/>
      <c r="F52" s="69" t="str">
        <f>IFERROR(VLOOKUP(E52,'CATALOGO DE CUENTAS GENERAL'!$D$16:E1157,2,FALSE),"")</f>
        <v/>
      </c>
      <c r="G52" s="24"/>
      <c r="H52" s="29"/>
      <c r="I52" s="29"/>
      <c r="J52" s="29"/>
      <c r="K52" s="29"/>
      <c r="L52" s="33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</row>
    <row r="53" spans="3:27" ht="21.75" x14ac:dyDescent="0.25">
      <c r="C53" s="23">
        <f t="shared" ref="C53:C75" ca="1" si="0">TODAY()</f>
        <v>45945</v>
      </c>
      <c r="D53" s="132"/>
      <c r="E53" s="28"/>
      <c r="F53" s="69" t="str">
        <f>IFERROR(VLOOKUP(E53,'CATALOGO DE CUENTAS GENERAL'!$D$16:E1158,2,FALSE),"")</f>
        <v/>
      </c>
      <c r="G53" s="34"/>
      <c r="H53" s="62"/>
      <c r="I53" s="62"/>
      <c r="J53" s="29"/>
      <c r="K53" s="29"/>
      <c r="L53" s="33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</row>
    <row r="54" spans="3:27" ht="21.75" x14ac:dyDescent="0.25">
      <c r="C54" s="23">
        <f t="shared" ca="1" si="0"/>
        <v>45945</v>
      </c>
      <c r="D54" s="132"/>
      <c r="E54" s="28"/>
      <c r="F54" s="69" t="str">
        <f>IFERROR(VLOOKUP(E54,'CATALOGO DE CUENTAS GENERAL'!$D$16:E1159,2,FALSE),"")</f>
        <v/>
      </c>
      <c r="G54" s="25"/>
      <c r="H54" s="62"/>
      <c r="I54" s="62"/>
      <c r="J54" s="29"/>
      <c r="K54" s="29"/>
      <c r="L54" s="26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</row>
    <row r="55" spans="3:27" x14ac:dyDescent="0.25">
      <c r="C55" s="23">
        <f t="shared" ca="1" si="0"/>
        <v>45945</v>
      </c>
      <c r="D55" s="132"/>
      <c r="E55" s="28"/>
      <c r="F55" s="69" t="str">
        <f>IFERROR(VLOOKUP(E55,'CATALOGO DE CUENTAS GENERAL'!$D$16:E1160,2,FALSE),"")</f>
        <v/>
      </c>
      <c r="G55" s="25"/>
      <c r="H55" s="29"/>
      <c r="I55" s="29"/>
      <c r="J55" s="29"/>
      <c r="K55" s="29"/>
      <c r="L55" s="26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</row>
    <row r="56" spans="3:27" x14ac:dyDescent="0.25">
      <c r="C56" s="23">
        <f t="shared" ca="1" si="0"/>
        <v>45945</v>
      </c>
      <c r="D56" s="132"/>
      <c r="E56" s="28"/>
      <c r="F56" s="69" t="str">
        <f>IFERROR(VLOOKUP(E56,'CATALOGO DE CUENTAS GENERAL'!$D$16:E1161,2,FALSE),"")</f>
        <v/>
      </c>
      <c r="G56" s="25"/>
      <c r="H56" s="29"/>
      <c r="I56" s="29"/>
      <c r="J56" s="29"/>
      <c r="K56" s="29"/>
      <c r="L56" s="26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</row>
    <row r="57" spans="3:27" x14ac:dyDescent="0.25">
      <c r="C57" s="23">
        <f t="shared" ca="1" si="0"/>
        <v>45945</v>
      </c>
      <c r="D57" s="132"/>
      <c r="E57" s="28"/>
      <c r="F57" s="69" t="str">
        <f>IFERROR(VLOOKUP(E57,'CATALOGO DE CUENTAS GENERAL'!$D$16:E1162,2,FALSE),"")</f>
        <v/>
      </c>
      <c r="G57" s="27"/>
      <c r="H57" s="29"/>
      <c r="I57" s="29"/>
      <c r="J57" s="29"/>
      <c r="K57" s="29"/>
      <c r="L57" s="26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</row>
    <row r="58" spans="3:27" x14ac:dyDescent="0.25">
      <c r="C58" s="23">
        <f t="shared" ca="1" si="0"/>
        <v>45945</v>
      </c>
      <c r="D58" s="132"/>
      <c r="E58" s="28"/>
      <c r="F58" s="69" t="str">
        <f>IFERROR(VLOOKUP(E58,'CATALOGO DE CUENTAS GENERAL'!$D$16:E1163,2,FALSE),"")</f>
        <v/>
      </c>
      <c r="G58" s="35"/>
      <c r="H58" s="29"/>
      <c r="I58" s="29"/>
      <c r="J58" s="29"/>
      <c r="K58" s="29"/>
      <c r="L58" s="26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</row>
    <row r="59" spans="3:27" x14ac:dyDescent="0.25">
      <c r="C59" s="23">
        <f t="shared" ca="1" si="0"/>
        <v>45945</v>
      </c>
      <c r="D59" s="132"/>
      <c r="E59" s="28"/>
      <c r="F59" s="69" t="str">
        <f>IFERROR(VLOOKUP(E59,'CATALOGO DE CUENTAS GENERAL'!$D$16:E1164,2,FALSE),"")</f>
        <v/>
      </c>
      <c r="G59" s="27"/>
      <c r="H59" s="29"/>
      <c r="I59" s="29"/>
      <c r="J59" s="29"/>
      <c r="K59" s="29"/>
      <c r="L59" s="26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</row>
    <row r="60" spans="3:27" x14ac:dyDescent="0.25">
      <c r="C60" s="23">
        <f t="shared" ca="1" si="0"/>
        <v>45945</v>
      </c>
      <c r="D60" s="132"/>
      <c r="E60" s="28"/>
      <c r="F60" s="69" t="str">
        <f>IFERROR(VLOOKUP(E60,'CATALOGO DE CUENTAS GENERAL'!$D$16:E1165,2,FALSE),"")</f>
        <v/>
      </c>
      <c r="G60" s="27"/>
      <c r="H60" s="29"/>
      <c r="I60" s="29"/>
      <c r="J60" s="29"/>
      <c r="K60" s="29"/>
      <c r="L60" s="26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</row>
    <row r="61" spans="3:27" x14ac:dyDescent="0.25">
      <c r="C61" s="23">
        <f t="shared" ca="1" si="0"/>
        <v>45945</v>
      </c>
      <c r="D61" s="132"/>
      <c r="E61" s="28"/>
      <c r="F61" s="69" t="str">
        <f>IFERROR(VLOOKUP(E61,'CATALOGO DE CUENTAS GENERAL'!$D$16:E1166,2,FALSE),"")</f>
        <v/>
      </c>
      <c r="G61" s="25"/>
      <c r="H61" s="29"/>
      <c r="I61" s="29"/>
      <c r="J61" s="29"/>
      <c r="K61" s="29"/>
      <c r="L61" s="26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</row>
    <row r="62" spans="3:27" x14ac:dyDescent="0.25">
      <c r="C62" s="23">
        <f t="shared" ca="1" si="0"/>
        <v>45945</v>
      </c>
      <c r="D62" s="132"/>
      <c r="E62" s="28"/>
      <c r="F62" s="69" t="str">
        <f>IFERROR(VLOOKUP(E62,'CATALOGO DE CUENTAS GENERAL'!$D$16:E1167,2,FALSE),"")</f>
        <v/>
      </c>
      <c r="G62" s="25"/>
      <c r="H62" s="29"/>
      <c r="I62" s="29"/>
      <c r="J62" s="29"/>
      <c r="K62" s="29"/>
      <c r="L62" s="26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</row>
    <row r="63" spans="3:27" x14ac:dyDescent="0.25">
      <c r="C63" s="23">
        <f t="shared" ca="1" si="0"/>
        <v>45945</v>
      </c>
      <c r="D63" s="132"/>
      <c r="E63" s="28"/>
      <c r="F63" s="69" t="str">
        <f>IFERROR(VLOOKUP(E63,'CATALOGO DE CUENTAS GENERAL'!$D$16:E1168,2,FALSE),"")</f>
        <v/>
      </c>
      <c r="G63" s="25"/>
      <c r="H63" s="29"/>
      <c r="I63" s="29"/>
      <c r="J63" s="29"/>
      <c r="K63" s="29"/>
      <c r="L63" s="26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</row>
    <row r="64" spans="3:27" x14ac:dyDescent="0.25">
      <c r="C64" s="23">
        <f t="shared" ca="1" si="0"/>
        <v>45945</v>
      </c>
      <c r="D64" s="132"/>
      <c r="E64" s="28"/>
      <c r="F64" s="69" t="str">
        <f>IFERROR(VLOOKUP(E64,'CATALOGO DE CUENTAS GENERAL'!$D$16:E1169,2,FALSE),"")</f>
        <v/>
      </c>
      <c r="G64" s="25"/>
      <c r="H64" s="29"/>
      <c r="I64" s="29"/>
      <c r="J64" s="29"/>
      <c r="K64" s="29"/>
      <c r="L64" s="26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</row>
    <row r="65" spans="3:27" x14ac:dyDescent="0.25">
      <c r="C65" s="23">
        <f t="shared" ca="1" si="0"/>
        <v>45945</v>
      </c>
      <c r="D65" s="132"/>
      <c r="E65" s="28"/>
      <c r="F65" s="69" t="str">
        <f>IFERROR(VLOOKUP(E65,'CATALOGO DE CUENTAS GENERAL'!$D$16:E1170,2,FALSE),"")</f>
        <v/>
      </c>
      <c r="G65" s="25"/>
      <c r="H65" s="29"/>
      <c r="I65" s="29"/>
      <c r="J65" s="29"/>
      <c r="K65" s="29"/>
      <c r="L65" s="26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</row>
    <row r="66" spans="3:27" x14ac:dyDescent="0.25">
      <c r="C66" s="23">
        <f t="shared" ca="1" si="0"/>
        <v>45945</v>
      </c>
      <c r="D66" s="132"/>
      <c r="E66" s="28"/>
      <c r="F66" s="69" t="str">
        <f>IFERROR(VLOOKUP(E66,'CATALOGO DE CUENTAS GENERAL'!$D$16:E1171,2,FALSE),"")</f>
        <v/>
      </c>
      <c r="G66" s="25"/>
      <c r="H66" s="29"/>
      <c r="I66" s="29"/>
      <c r="J66" s="29"/>
      <c r="K66" s="29"/>
      <c r="L66" s="26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</row>
    <row r="67" spans="3:27" x14ac:dyDescent="0.25">
      <c r="C67" s="23">
        <f t="shared" ca="1" si="0"/>
        <v>45945</v>
      </c>
      <c r="D67" s="132"/>
      <c r="E67" s="28"/>
      <c r="F67" s="69" t="str">
        <f>IFERROR(VLOOKUP(E67,'CATALOGO DE CUENTAS GENERAL'!$D$16:E1172,2,FALSE),"")</f>
        <v/>
      </c>
      <c r="G67" s="25"/>
      <c r="H67" s="29"/>
      <c r="I67" s="29"/>
      <c r="J67" s="29"/>
      <c r="K67" s="29"/>
      <c r="L67" s="26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</row>
    <row r="68" spans="3:27" x14ac:dyDescent="0.25">
      <c r="C68" s="23">
        <f t="shared" ca="1" si="0"/>
        <v>45945</v>
      </c>
      <c r="D68" s="132"/>
      <c r="E68" s="28"/>
      <c r="F68" s="69" t="str">
        <f>IFERROR(VLOOKUP(E68,'CATALOGO DE CUENTAS GENERAL'!$D$16:E1173,2,FALSE),"")</f>
        <v/>
      </c>
      <c r="G68" s="25"/>
      <c r="H68" s="29"/>
      <c r="I68" s="29"/>
      <c r="J68" s="29"/>
      <c r="K68" s="29"/>
      <c r="L68" s="26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</row>
    <row r="69" spans="3:27" x14ac:dyDescent="0.25">
      <c r="C69" s="23">
        <f t="shared" ca="1" si="0"/>
        <v>45945</v>
      </c>
      <c r="D69" s="132"/>
      <c r="E69" s="28"/>
      <c r="F69" s="69" t="str">
        <f>IFERROR(VLOOKUP(E69,'CATALOGO DE CUENTAS GENERAL'!$D$16:E1174,2,FALSE),"")</f>
        <v/>
      </c>
      <c r="G69" s="25"/>
      <c r="H69" s="29"/>
      <c r="I69" s="29"/>
      <c r="J69" s="29"/>
      <c r="K69" s="29"/>
      <c r="L69" s="26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</row>
    <row r="70" spans="3:27" x14ac:dyDescent="0.25">
      <c r="C70" s="23">
        <f t="shared" ca="1" si="0"/>
        <v>45945</v>
      </c>
      <c r="D70" s="132"/>
      <c r="E70" s="28"/>
      <c r="F70" s="69" t="str">
        <f>IFERROR(VLOOKUP(E70,'CATALOGO DE CUENTAS GENERAL'!$D$16:E1175,2,FALSE),"")</f>
        <v/>
      </c>
      <c r="G70" s="25"/>
      <c r="H70" s="29"/>
      <c r="I70" s="29"/>
      <c r="J70" s="29"/>
      <c r="K70" s="29"/>
      <c r="L70" s="26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</row>
    <row r="71" spans="3:27" x14ac:dyDescent="0.25">
      <c r="C71" s="23">
        <f t="shared" ca="1" si="0"/>
        <v>45945</v>
      </c>
      <c r="D71" s="132"/>
      <c r="E71" s="28"/>
      <c r="F71" s="69" t="str">
        <f>IFERROR(VLOOKUP(E71,'CATALOGO DE CUENTAS GENERAL'!$D$16:E1176,2,FALSE),"")</f>
        <v/>
      </c>
      <c r="G71" s="25"/>
      <c r="H71" s="29"/>
      <c r="I71" s="29"/>
      <c r="J71" s="29"/>
      <c r="K71" s="29"/>
      <c r="L71" s="26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</row>
    <row r="72" spans="3:27" x14ac:dyDescent="0.25">
      <c r="C72" s="23">
        <f t="shared" ca="1" si="0"/>
        <v>45945</v>
      </c>
      <c r="D72" s="132"/>
      <c r="E72" s="28"/>
      <c r="F72" s="69"/>
      <c r="G72" s="25"/>
      <c r="H72" s="29"/>
      <c r="I72" s="29"/>
      <c r="J72" s="29"/>
      <c r="K72" s="29"/>
      <c r="L72" s="26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</row>
    <row r="73" spans="3:27" x14ac:dyDescent="0.25">
      <c r="C73" s="23">
        <f t="shared" ca="1" si="0"/>
        <v>45945</v>
      </c>
      <c r="D73" s="132"/>
      <c r="E73" s="28"/>
      <c r="F73" s="69" t="str">
        <f>IFERROR(VLOOKUP(E73,'CATALOGO DE CUENTAS GENERAL'!$D$16:E1178,2,FALSE),"")</f>
        <v/>
      </c>
      <c r="G73" s="25"/>
      <c r="H73" s="29"/>
      <c r="I73" s="29"/>
      <c r="J73" s="29"/>
      <c r="K73" s="29"/>
      <c r="L73" s="26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</row>
    <row r="74" spans="3:27" x14ac:dyDescent="0.25">
      <c r="C74" s="23">
        <f t="shared" ca="1" si="0"/>
        <v>45945</v>
      </c>
      <c r="D74" s="132"/>
      <c r="E74" s="28"/>
      <c r="F74" s="69" t="str">
        <f>IFERROR(VLOOKUP(E74,'CATALOGO DE CUENTAS GENERAL'!$D$16:E1179,2,FALSE),"")</f>
        <v/>
      </c>
      <c r="G74" s="25"/>
      <c r="H74" s="29"/>
      <c r="I74" s="29"/>
      <c r="J74" s="29"/>
      <c r="K74" s="29"/>
      <c r="L74" s="26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</row>
    <row r="75" spans="3:27" x14ac:dyDescent="0.25">
      <c r="C75" s="23">
        <f t="shared" ca="1" si="0"/>
        <v>45945</v>
      </c>
      <c r="D75" s="132"/>
      <c r="E75" s="28"/>
      <c r="F75" s="69" t="str">
        <f>IFERROR(VLOOKUP(E75,'CATALOGO DE CUENTAS GENERAL'!$D$16:E1180,2,FALSE),"")</f>
        <v/>
      </c>
      <c r="G75" s="25"/>
      <c r="H75" s="29"/>
      <c r="I75" s="29"/>
      <c r="J75" s="29"/>
      <c r="K75" s="29"/>
      <c r="L75" s="26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</row>
  </sheetData>
  <mergeCells count="4">
    <mergeCell ref="C13:L13"/>
    <mergeCell ref="D14:G14"/>
    <mergeCell ref="C15:L16"/>
    <mergeCell ref="I14:L14"/>
  </mergeCells>
  <conditionalFormatting sqref="G59:G75 L54:L75 G18:G57 F17:F75 F21:G43">
    <cfRule type="cellIs" dxfId="4" priority="6" operator="between">
      <formula>1</formula>
      <formula>100</formula>
    </cfRule>
  </conditionalFormatting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500-000000000000}">
          <x14:formula1>
            <xm:f>'BASE DE DATOS'!$E$24:$E$75</xm:f>
          </x14:formula1>
          <xm:sqref>D18:D75</xm:sqref>
        </x14:dataValidation>
        <x14:dataValidation type="list" allowBlank="1" showInputMessage="1" showErrorMessage="1" xr:uid="{00000000-0002-0000-0500-000001000000}">
          <x14:formula1>
            <xm:f>'CATALOGO DE CUENTAS GENERAL'!$D$16:$D$1122</xm:f>
          </x14:formula1>
          <xm:sqref>E18:E75</xm:sqref>
        </x14:dataValidation>
        <x14:dataValidation type="list" allowBlank="1" showInputMessage="1" showErrorMessage="1" xr:uid="{00000000-0002-0000-0500-000002000000}">
          <x14:formula1>
            <xm:f>'BASE DE DATOS'!$G$25:$G$32</xm:f>
          </x14:formula1>
          <xm:sqref>G18:G75</xm:sqref>
        </x14:dataValidation>
        <x14:dataValidation type="list" allowBlank="1" showInputMessage="1" showErrorMessage="1" xr:uid="{00000000-0002-0000-0500-000003000000}">
          <x14:formula1>
            <xm:f>'BASE DE DATOS'!$F$25:$F$26</xm:f>
          </x14:formula1>
          <xm:sqref>J18:K75</xm:sqref>
        </x14:dataValidation>
        <x14:dataValidation type="list" allowBlank="1" showInputMessage="1" showErrorMessage="1" xr:uid="{00000000-0002-0000-0500-000004000000}">
          <x14:formula1>
            <xm:f>'BASE DE DATOS'!$K$27:$K$42</xm:f>
          </x14:formula1>
          <xm:sqref>L18:L75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rgb="FF82302E"/>
  </sheetPr>
  <dimension ref="A16:I227"/>
  <sheetViews>
    <sheetView showGridLines="0" topLeftCell="A4" zoomScale="70" zoomScaleNormal="70" workbookViewId="0">
      <selection activeCell="O9" sqref="O9"/>
    </sheetView>
  </sheetViews>
  <sheetFormatPr baseColWidth="10" defaultRowHeight="15" x14ac:dyDescent="0.25"/>
  <cols>
    <col min="1" max="1" width="30.7109375" style="74" customWidth="1"/>
    <col min="2" max="3" width="11.42578125" style="6"/>
    <col min="4" max="4" width="18.42578125" style="6" customWidth="1"/>
    <col min="5" max="5" width="18.85546875" style="6" bestFit="1" customWidth="1"/>
    <col min="6" max="6" width="11.42578125" style="6"/>
    <col min="7" max="7" width="19.28515625" style="6" customWidth="1"/>
    <col min="8" max="8" width="26" style="6" customWidth="1"/>
    <col min="9" max="16384" width="11.42578125" style="6"/>
  </cols>
  <sheetData>
    <row r="16" spans="3:9" ht="27.75" x14ac:dyDescent="0.45">
      <c r="C16" s="224" t="str">
        <f>'BALANCE GENERAL'!C12:I12</f>
        <v xml:space="preserve">la flor del maiz </v>
      </c>
      <c r="D16" s="224"/>
      <c r="E16" s="224"/>
      <c r="F16" s="224"/>
      <c r="G16" s="224"/>
      <c r="H16" s="224"/>
      <c r="I16" s="224"/>
    </row>
    <row r="17" spans="3:9" ht="20.25" x14ac:dyDescent="0.35">
      <c r="C17" s="225" t="s">
        <v>11</v>
      </c>
      <c r="D17" s="225"/>
      <c r="E17" s="226">
        <v>45594</v>
      </c>
      <c r="F17" s="227"/>
      <c r="G17" s="154" t="s">
        <v>12</v>
      </c>
      <c r="H17" s="226">
        <v>45593</v>
      </c>
      <c r="I17" s="227"/>
    </row>
    <row r="18" spans="3:9" x14ac:dyDescent="0.25">
      <c r="C18" s="143"/>
      <c r="D18" s="144"/>
      <c r="E18" s="145"/>
      <c r="F18" s="145"/>
      <c r="G18" s="145"/>
      <c r="H18" s="145"/>
      <c r="I18" s="145"/>
    </row>
    <row r="19" spans="3:9" x14ac:dyDescent="0.25">
      <c r="C19" s="143"/>
      <c r="D19" s="222" t="s">
        <v>94</v>
      </c>
      <c r="E19" s="222"/>
      <c r="F19" s="143"/>
      <c r="G19" s="222" t="s">
        <v>94</v>
      </c>
      <c r="H19" s="222"/>
      <c r="I19" s="143"/>
    </row>
    <row r="20" spans="3:9" x14ac:dyDescent="0.25">
      <c r="C20" s="143"/>
      <c r="D20" s="149" t="s">
        <v>0</v>
      </c>
      <c r="E20" s="150" t="s">
        <v>1</v>
      </c>
      <c r="F20" s="143"/>
      <c r="G20" s="149" t="s">
        <v>0</v>
      </c>
      <c r="H20" s="150" t="s">
        <v>1</v>
      </c>
      <c r="I20" s="146"/>
    </row>
    <row r="21" spans="3:9" x14ac:dyDescent="0.25">
      <c r="C21" s="143"/>
      <c r="D21" s="151" t="str">
        <f>IFERROR(VLOOKUP(D19,'TABLA DINAMICA'!$B$3:$E$50,3,0),"")</f>
        <v/>
      </c>
      <c r="E21" s="151" t="str">
        <f>IFERROR(VLOOKUP(D19,'TABLA DINAMICA'!$B$3:$E$50,4,0),"")</f>
        <v/>
      </c>
      <c r="F21" s="143"/>
      <c r="G21" s="151" t="str">
        <f>IFERROR(VLOOKUP(G19,'TABLA DINAMICA'!$B$3:$E$50,3,0),"")</f>
        <v/>
      </c>
      <c r="H21" s="151" t="str">
        <f>IFERROR(VLOOKUP(G19,'TABLA DINAMICA'!$B$3:$E$50,4,0),"")</f>
        <v/>
      </c>
      <c r="I21" s="146"/>
    </row>
    <row r="22" spans="3:9" x14ac:dyDescent="0.25">
      <c r="C22" s="143"/>
      <c r="D22" s="151" t="e">
        <f>IF(D21&gt;=E21,(D21-E21),"")</f>
        <v>#VALUE!</v>
      </c>
      <c r="E22" s="151" t="str">
        <f>IF(E21&gt;D21,(E21-D21),"")</f>
        <v/>
      </c>
      <c r="F22" s="143"/>
      <c r="G22" s="151" t="e">
        <f>IF(G21&gt;=H21,(G21-H21),"")</f>
        <v>#VALUE!</v>
      </c>
      <c r="H22" s="151" t="str">
        <f>IF(H21&gt;G21,(H21-G21),"")</f>
        <v/>
      </c>
      <c r="I22" s="146"/>
    </row>
    <row r="23" spans="3:9" x14ac:dyDescent="0.25">
      <c r="C23" s="143"/>
      <c r="D23" s="152"/>
      <c r="E23" s="153"/>
      <c r="F23" s="143"/>
      <c r="G23" s="152"/>
      <c r="H23" s="153"/>
      <c r="I23" s="146"/>
    </row>
    <row r="24" spans="3:9" x14ac:dyDescent="0.25">
      <c r="C24" s="143"/>
      <c r="D24" s="152"/>
      <c r="E24" s="153"/>
      <c r="F24" s="143"/>
      <c r="G24" s="152"/>
      <c r="H24" s="153"/>
      <c r="I24" s="146" t="s">
        <v>86</v>
      </c>
    </row>
    <row r="25" spans="3:9" x14ac:dyDescent="0.25">
      <c r="C25" s="143"/>
      <c r="D25" s="152"/>
      <c r="E25" s="153"/>
      <c r="F25" s="143"/>
      <c r="G25" s="152"/>
      <c r="H25" s="153"/>
      <c r="I25" s="146"/>
    </row>
    <row r="26" spans="3:9" x14ac:dyDescent="0.25">
      <c r="C26" s="143"/>
      <c r="D26" s="152"/>
      <c r="E26" s="153"/>
      <c r="F26" s="143"/>
      <c r="G26" s="152"/>
      <c r="H26" s="153"/>
      <c r="I26" s="143"/>
    </row>
    <row r="27" spans="3:9" x14ac:dyDescent="0.25">
      <c r="C27" s="143"/>
      <c r="D27" s="223"/>
      <c r="E27" s="223"/>
      <c r="F27" s="223"/>
      <c r="G27" s="223"/>
      <c r="H27" s="147"/>
      <c r="I27" s="143"/>
    </row>
    <row r="28" spans="3:9" x14ac:dyDescent="0.25">
      <c r="C28" s="143"/>
      <c r="D28" s="222" t="s">
        <v>167</v>
      </c>
      <c r="E28" s="222"/>
      <c r="F28" s="143"/>
      <c r="G28" s="222" t="s">
        <v>297</v>
      </c>
      <c r="H28" s="222"/>
      <c r="I28" s="143"/>
    </row>
    <row r="29" spans="3:9" x14ac:dyDescent="0.25">
      <c r="C29" s="143"/>
      <c r="D29" s="149" t="s">
        <v>0</v>
      </c>
      <c r="E29" s="150" t="s">
        <v>1</v>
      </c>
      <c r="F29" s="143"/>
      <c r="G29" s="149" t="s">
        <v>0</v>
      </c>
      <c r="H29" s="150" t="s">
        <v>1</v>
      </c>
      <c r="I29" s="143"/>
    </row>
    <row r="30" spans="3:9" x14ac:dyDescent="0.25">
      <c r="C30" s="143"/>
      <c r="D30" s="151" t="str">
        <f>IFERROR(VLOOKUP(D28,'TABLA DINAMICA'!$B$3:$E$50,3,0),"")</f>
        <v/>
      </c>
      <c r="E30" s="151" t="str">
        <f>IFERROR(VLOOKUP(D28,'TABLA DINAMICA'!$B$3:$E$50,4,0),"")</f>
        <v/>
      </c>
      <c r="F30" s="143"/>
      <c r="G30" s="151">
        <f>IFERROR(VLOOKUP(G28,'TABLA DINAMICA'!$B$3:$E$50,3,0),"")</f>
        <v>50000</v>
      </c>
      <c r="H30" s="151">
        <f>IFERROR(VLOOKUP(G28,'TABLA DINAMICA'!$B$3:$E$50,4,0),"")</f>
        <v>0</v>
      </c>
      <c r="I30" s="143"/>
    </row>
    <row r="31" spans="3:9" x14ac:dyDescent="0.25">
      <c r="C31" s="143"/>
      <c r="D31" s="151" t="e">
        <f>IF(D30&gt;=E30,(D30-E30),"")</f>
        <v>#VALUE!</v>
      </c>
      <c r="E31" s="151" t="str">
        <f>IF(E30&gt;D30,(E30-D30),"")</f>
        <v/>
      </c>
      <c r="F31" s="143"/>
      <c r="G31" s="151">
        <f>IF(G30&gt;=H30,(G30-H30),"")</f>
        <v>50000</v>
      </c>
      <c r="H31" s="151" t="str">
        <f>IF(H30&gt;G30,(H30-G30),"")</f>
        <v/>
      </c>
      <c r="I31" s="143"/>
    </row>
    <row r="32" spans="3:9" x14ac:dyDescent="0.25">
      <c r="C32" s="143"/>
      <c r="D32" s="152"/>
      <c r="E32" s="153"/>
      <c r="F32" s="143"/>
      <c r="G32" s="152"/>
      <c r="H32" s="153"/>
      <c r="I32" s="143"/>
    </row>
    <row r="33" spans="3:9" x14ac:dyDescent="0.25">
      <c r="C33" s="143"/>
      <c r="D33" s="152"/>
      <c r="E33" s="153"/>
      <c r="F33" s="143"/>
      <c r="G33" s="152"/>
      <c r="H33" s="153"/>
      <c r="I33" s="143"/>
    </row>
    <row r="34" spans="3:9" x14ac:dyDescent="0.25">
      <c r="C34" s="143"/>
      <c r="D34" s="152"/>
      <c r="E34" s="153"/>
      <c r="F34" s="143"/>
      <c r="G34" s="152"/>
      <c r="H34" s="153"/>
      <c r="I34" s="143"/>
    </row>
    <row r="35" spans="3:9" x14ac:dyDescent="0.25">
      <c r="C35" s="143"/>
      <c r="D35" s="152"/>
      <c r="E35" s="153"/>
      <c r="F35" s="143"/>
      <c r="G35" s="152"/>
      <c r="H35" s="153"/>
      <c r="I35" s="143"/>
    </row>
    <row r="36" spans="3:9" x14ac:dyDescent="0.25">
      <c r="C36" s="143"/>
      <c r="D36" s="223"/>
      <c r="E36" s="223"/>
      <c r="F36" s="223"/>
      <c r="G36" s="223"/>
      <c r="H36" s="147"/>
      <c r="I36" s="143"/>
    </row>
    <row r="37" spans="3:9" x14ac:dyDescent="0.25">
      <c r="C37" s="143"/>
      <c r="D37" s="223"/>
      <c r="E37" s="223"/>
      <c r="F37" s="223"/>
      <c r="G37" s="223"/>
      <c r="H37" s="147"/>
      <c r="I37" s="143"/>
    </row>
    <row r="38" spans="3:9" x14ac:dyDescent="0.25">
      <c r="C38" s="143"/>
      <c r="D38" s="222" t="s">
        <v>302</v>
      </c>
      <c r="E38" s="222"/>
      <c r="F38" s="143"/>
      <c r="G38" s="222" t="s">
        <v>4</v>
      </c>
      <c r="H38" s="222"/>
      <c r="I38" s="143"/>
    </row>
    <row r="39" spans="3:9" x14ac:dyDescent="0.25">
      <c r="C39" s="143"/>
      <c r="D39" s="49" t="s">
        <v>0</v>
      </c>
      <c r="E39" s="50" t="s">
        <v>1</v>
      </c>
      <c r="F39" s="143"/>
      <c r="G39" s="49" t="s">
        <v>0</v>
      </c>
      <c r="H39" s="50" t="s">
        <v>1</v>
      </c>
      <c r="I39" s="143"/>
    </row>
    <row r="40" spans="3:9" x14ac:dyDescent="0.25">
      <c r="C40" s="143"/>
      <c r="D40" s="52">
        <f>IFERROR(VLOOKUP(D38,'TABLA DINAMICA'!$B$3:$E$50,3,0),"")</f>
        <v>0</v>
      </c>
      <c r="E40" s="52">
        <f>IFERROR(VLOOKUP(D38,'TABLA DINAMICA'!$B$3:$E$50,4,0),"")</f>
        <v>10000</v>
      </c>
      <c r="F40" s="143"/>
      <c r="G40" s="52" t="str">
        <f>IFERROR(VLOOKUP(G38,'TABLA DINAMICA'!$B$3:$E$50,3,0),"")</f>
        <v/>
      </c>
      <c r="H40" s="52" t="str">
        <f>IFERROR(VLOOKUP(G38,'TABLA DINAMICA'!$B$3:$E$50,4,0),"")</f>
        <v/>
      </c>
      <c r="I40" s="143"/>
    </row>
    <row r="41" spans="3:9" x14ac:dyDescent="0.25">
      <c r="C41" s="143"/>
      <c r="D41" s="52" t="str">
        <f>IF(D40&gt;=E40,(D40-E40),"")</f>
        <v/>
      </c>
      <c r="E41" s="52">
        <f>IF(E40&gt;D40,(E40-D40),"")</f>
        <v>10000</v>
      </c>
      <c r="F41" s="143"/>
      <c r="G41" s="52" t="e">
        <f>IF(G40&gt;=H40,(G40-H40),"")</f>
        <v>#VALUE!</v>
      </c>
      <c r="H41" s="52" t="str">
        <f>IF(H40&gt;G40,(H40-G40),"")</f>
        <v/>
      </c>
      <c r="I41" s="143"/>
    </row>
    <row r="42" spans="3:9" x14ac:dyDescent="0.25">
      <c r="C42" s="143"/>
      <c r="D42" s="53"/>
      <c r="E42" s="48"/>
      <c r="F42" s="143"/>
      <c r="G42" s="53"/>
      <c r="H42" s="48"/>
      <c r="I42" s="143"/>
    </row>
    <row r="43" spans="3:9" x14ac:dyDescent="0.25">
      <c r="C43" s="143"/>
      <c r="D43" s="53"/>
      <c r="E43" s="48"/>
      <c r="F43" s="143"/>
      <c r="G43" s="53"/>
      <c r="H43" s="48"/>
      <c r="I43" s="143"/>
    </row>
    <row r="44" spans="3:9" x14ac:dyDescent="0.25">
      <c r="C44" s="143"/>
      <c r="D44" s="53"/>
      <c r="E44" s="48"/>
      <c r="F44" s="143"/>
      <c r="G44" s="53"/>
      <c r="H44" s="48"/>
      <c r="I44" s="143"/>
    </row>
    <row r="45" spans="3:9" x14ac:dyDescent="0.25">
      <c r="C45" s="143"/>
      <c r="D45" s="53"/>
      <c r="E45" s="48"/>
      <c r="F45" s="143"/>
      <c r="G45" s="53"/>
      <c r="H45" s="48"/>
      <c r="I45" s="143"/>
    </row>
    <row r="46" spans="3:9" x14ac:dyDescent="0.25">
      <c r="C46" s="143"/>
      <c r="D46" s="223"/>
      <c r="E46" s="223"/>
      <c r="F46" s="223"/>
      <c r="G46" s="223"/>
      <c r="H46" s="147"/>
      <c r="I46" s="143"/>
    </row>
    <row r="47" spans="3:9" x14ac:dyDescent="0.25">
      <c r="C47" s="143"/>
      <c r="D47" s="222" t="s">
        <v>466</v>
      </c>
      <c r="E47" s="222"/>
      <c r="F47" s="143"/>
      <c r="G47" s="222" t="s">
        <v>102</v>
      </c>
      <c r="H47" s="222"/>
      <c r="I47" s="143"/>
    </row>
    <row r="48" spans="3:9" x14ac:dyDescent="0.25">
      <c r="C48" s="143"/>
      <c r="D48" s="49" t="s">
        <v>0</v>
      </c>
      <c r="E48" s="50" t="s">
        <v>1</v>
      </c>
      <c r="F48" s="143"/>
      <c r="G48" s="49" t="s">
        <v>0</v>
      </c>
      <c r="H48" s="50" t="s">
        <v>1</v>
      </c>
      <c r="I48" s="143"/>
    </row>
    <row r="49" spans="3:9" x14ac:dyDescent="0.25">
      <c r="C49" s="143"/>
      <c r="D49" s="52" t="str">
        <f>IFERROR(VLOOKUP(D47,'TABLA DINAMICA'!$B$3:$E$50,3,0),"")</f>
        <v/>
      </c>
      <c r="E49" s="52" t="str">
        <f>IFERROR(VLOOKUP(D47,'TABLA DINAMICA'!$B$3:$E$50,4,0),"")</f>
        <v/>
      </c>
      <c r="F49" s="143"/>
      <c r="G49" s="52" t="str">
        <f>IFERROR(VLOOKUP(G47,'TABLA DINAMICA'!$B$3:$E$50,3,0),"")</f>
        <v/>
      </c>
      <c r="H49" s="52" t="str">
        <f>IFERROR(VLOOKUP(G47,'TABLA DINAMICA'!$B$3:$E$50,4,0),"")</f>
        <v/>
      </c>
      <c r="I49" s="143"/>
    </row>
    <row r="50" spans="3:9" x14ac:dyDescent="0.25">
      <c r="C50" s="143"/>
      <c r="D50" s="52" t="e">
        <f>IF(D49&gt;=E49,(D49-E49),"")</f>
        <v>#VALUE!</v>
      </c>
      <c r="E50" s="52" t="str">
        <f>IF(E49&gt;D49,(E49-D49),"")</f>
        <v/>
      </c>
      <c r="F50" s="143"/>
      <c r="G50" s="52" t="e">
        <f>IF(G49&gt;=H49,(G49-H49),"")</f>
        <v>#VALUE!</v>
      </c>
      <c r="H50" s="52" t="str">
        <f>IF(H49&gt;G49,(H49-G49),"")</f>
        <v/>
      </c>
      <c r="I50" s="143"/>
    </row>
    <row r="51" spans="3:9" x14ac:dyDescent="0.25">
      <c r="C51" s="143"/>
      <c r="D51" s="53"/>
      <c r="E51" s="48"/>
      <c r="F51" s="143"/>
      <c r="G51" s="53"/>
      <c r="H51" s="48"/>
      <c r="I51" s="143"/>
    </row>
    <row r="52" spans="3:9" x14ac:dyDescent="0.25">
      <c r="C52" s="143"/>
      <c r="D52" s="53"/>
      <c r="E52" s="48"/>
      <c r="F52" s="143"/>
      <c r="G52" s="53"/>
      <c r="H52" s="48"/>
      <c r="I52" s="143"/>
    </row>
    <row r="53" spans="3:9" x14ac:dyDescent="0.25">
      <c r="C53" s="143"/>
      <c r="D53" s="53"/>
      <c r="E53" s="48"/>
      <c r="F53" s="143"/>
      <c r="G53" s="53"/>
      <c r="H53" s="48"/>
      <c r="I53" s="143"/>
    </row>
    <row r="54" spans="3:9" x14ac:dyDescent="0.25">
      <c r="C54" s="143"/>
      <c r="D54" s="53"/>
      <c r="E54" s="48"/>
      <c r="F54" s="143"/>
      <c r="G54" s="53"/>
      <c r="H54" s="48"/>
      <c r="I54" s="143"/>
    </row>
    <row r="55" spans="3:9" x14ac:dyDescent="0.25">
      <c r="C55" s="143"/>
      <c r="D55" s="223"/>
      <c r="E55" s="223"/>
      <c r="F55" s="223"/>
      <c r="G55" s="223"/>
      <c r="H55" s="147"/>
      <c r="I55" s="143"/>
    </row>
    <row r="56" spans="3:9" x14ac:dyDescent="0.25">
      <c r="C56" s="143"/>
      <c r="D56" s="222" t="s">
        <v>517</v>
      </c>
      <c r="E56" s="222"/>
      <c r="F56" s="143"/>
      <c r="G56" s="222" t="s">
        <v>461</v>
      </c>
      <c r="H56" s="222"/>
      <c r="I56" s="143"/>
    </row>
    <row r="57" spans="3:9" x14ac:dyDescent="0.25">
      <c r="C57" s="143"/>
      <c r="D57" s="49" t="s">
        <v>0</v>
      </c>
      <c r="E57" s="50" t="s">
        <v>1</v>
      </c>
      <c r="F57" s="143"/>
      <c r="G57" s="49" t="s">
        <v>0</v>
      </c>
      <c r="H57" s="50" t="s">
        <v>1</v>
      </c>
      <c r="I57" s="143"/>
    </row>
    <row r="58" spans="3:9" x14ac:dyDescent="0.25">
      <c r="C58" s="143"/>
      <c r="D58" s="52" t="str">
        <f>IFERROR(VLOOKUP(D56,'TABLA DINAMICA'!$B$3:$E$50,3,0),"")</f>
        <v/>
      </c>
      <c r="E58" s="52" t="str">
        <f>IFERROR(VLOOKUP(D56,'TABLA DINAMICA'!$B$3:$E$50,4,0),"")</f>
        <v/>
      </c>
      <c r="F58" s="143"/>
      <c r="G58" s="52" t="str">
        <f>IFERROR(VLOOKUP(G56,'TABLA DINAMICA'!$B$3:$E$50,3,0),"")</f>
        <v/>
      </c>
      <c r="H58" s="52" t="str">
        <f>IFERROR(VLOOKUP(G56,'TABLA DINAMICA'!$B$3:$E$50,4,0),"")</f>
        <v/>
      </c>
      <c r="I58" s="143"/>
    </row>
    <row r="59" spans="3:9" x14ac:dyDescent="0.25">
      <c r="C59" s="143"/>
      <c r="D59" s="52" t="e">
        <f>IF(D58&gt;=E58,(D58-E58),"")</f>
        <v>#VALUE!</v>
      </c>
      <c r="E59" s="52" t="str">
        <f>IF(E58&gt;D58,(E58-D58),"")</f>
        <v/>
      </c>
      <c r="F59" s="143"/>
      <c r="G59" s="52" t="e">
        <f>IF(G58&gt;=H58,(G58-H58),"")</f>
        <v>#VALUE!</v>
      </c>
      <c r="H59" s="52" t="str">
        <f>IF(H58&gt;G58,(H58-G58),"")</f>
        <v/>
      </c>
      <c r="I59" s="143"/>
    </row>
    <row r="60" spans="3:9" x14ac:dyDescent="0.25">
      <c r="C60" s="143"/>
      <c r="D60" s="53"/>
      <c r="E60" s="48"/>
      <c r="F60" s="143"/>
      <c r="G60" s="53"/>
      <c r="H60" s="48"/>
      <c r="I60" s="143"/>
    </row>
    <row r="61" spans="3:9" x14ac:dyDescent="0.25">
      <c r="C61" s="143"/>
      <c r="D61" s="53"/>
      <c r="E61" s="48"/>
      <c r="F61" s="143"/>
      <c r="G61" s="53"/>
      <c r="H61" s="48"/>
      <c r="I61" s="143"/>
    </row>
    <row r="62" spans="3:9" x14ac:dyDescent="0.25">
      <c r="C62" s="143"/>
      <c r="D62" s="53"/>
      <c r="E62" s="48"/>
      <c r="F62" s="143"/>
      <c r="G62" s="53"/>
      <c r="H62" s="48"/>
      <c r="I62" s="143"/>
    </row>
    <row r="63" spans="3:9" x14ac:dyDescent="0.25">
      <c r="C63" s="143"/>
      <c r="D63" s="53"/>
      <c r="E63" s="48"/>
      <c r="F63" s="143"/>
      <c r="G63" s="53"/>
      <c r="H63" s="48"/>
      <c r="I63" s="143"/>
    </row>
    <row r="64" spans="3:9" x14ac:dyDescent="0.25">
      <c r="C64" s="143"/>
      <c r="D64" s="223"/>
      <c r="E64" s="223"/>
      <c r="F64" s="223"/>
      <c r="G64" s="223"/>
      <c r="H64" s="147"/>
      <c r="I64" s="143"/>
    </row>
    <row r="65" spans="3:9" x14ac:dyDescent="0.25">
      <c r="C65" s="143"/>
      <c r="D65" s="222" t="s">
        <v>466</v>
      </c>
      <c r="E65" s="222"/>
      <c r="F65" s="143"/>
      <c r="G65" s="222" t="s">
        <v>461</v>
      </c>
      <c r="H65" s="222"/>
      <c r="I65" s="143"/>
    </row>
    <row r="66" spans="3:9" x14ac:dyDescent="0.25">
      <c r="C66" s="143"/>
      <c r="D66" s="49" t="s">
        <v>0</v>
      </c>
      <c r="E66" s="50" t="s">
        <v>1</v>
      </c>
      <c r="F66" s="143"/>
      <c r="G66" s="49" t="s">
        <v>0</v>
      </c>
      <c r="H66" s="50" t="s">
        <v>1</v>
      </c>
      <c r="I66" s="143"/>
    </row>
    <row r="67" spans="3:9" x14ac:dyDescent="0.25">
      <c r="C67" s="143"/>
      <c r="D67" s="52" t="str">
        <f>IFERROR(VLOOKUP(D65,'TABLA DINAMICA'!$B$3:$E$50,3,0),"")</f>
        <v/>
      </c>
      <c r="E67" s="52" t="str">
        <f>IFERROR(VLOOKUP(D65,'TABLA DINAMICA'!$B$3:$E$50,4,0),"")</f>
        <v/>
      </c>
      <c r="F67" s="143"/>
      <c r="G67" s="52" t="str">
        <f>IFERROR(VLOOKUP(G65,'TABLA DINAMICA'!$B$3:$E$50,3,0),"")</f>
        <v/>
      </c>
      <c r="H67" s="52" t="str">
        <f>IFERROR(VLOOKUP(G65,'TABLA DINAMICA'!$B$3:$E$50,4,0),"")</f>
        <v/>
      </c>
      <c r="I67" s="143"/>
    </row>
    <row r="68" spans="3:9" x14ac:dyDescent="0.25">
      <c r="C68" s="143"/>
      <c r="D68" s="52" t="e">
        <f>IF(D67&gt;=E67,(D67-E67),"")</f>
        <v>#VALUE!</v>
      </c>
      <c r="E68" s="52" t="str">
        <f>IF(E67&gt;D67,(E67-D67),"")</f>
        <v/>
      </c>
      <c r="F68" s="143"/>
      <c r="G68" s="52" t="e">
        <f>IF(G67&gt;=H67,(G67-H67),"")</f>
        <v>#VALUE!</v>
      </c>
      <c r="H68" s="52" t="str">
        <f>IF(H67&gt;G67,(H67-G67),"")</f>
        <v/>
      </c>
      <c r="I68" s="143"/>
    </row>
    <row r="69" spans="3:9" x14ac:dyDescent="0.25">
      <c r="C69" s="143"/>
      <c r="D69" s="53"/>
      <c r="E69" s="48"/>
      <c r="F69" s="143"/>
      <c r="G69" s="53"/>
      <c r="H69" s="48"/>
      <c r="I69" s="143"/>
    </row>
    <row r="70" spans="3:9" x14ac:dyDescent="0.25">
      <c r="C70" s="143"/>
      <c r="D70" s="53"/>
      <c r="E70" s="48"/>
      <c r="F70" s="143"/>
      <c r="G70" s="53"/>
      <c r="H70" s="48"/>
      <c r="I70" s="143"/>
    </row>
    <row r="71" spans="3:9" x14ac:dyDescent="0.25">
      <c r="C71" s="143"/>
      <c r="D71" s="53"/>
      <c r="E71" s="48"/>
      <c r="F71" s="143"/>
      <c r="G71" s="53"/>
      <c r="H71" s="48"/>
      <c r="I71" s="143"/>
    </row>
    <row r="72" spans="3:9" x14ac:dyDescent="0.25">
      <c r="C72" s="143"/>
      <c r="D72" s="53"/>
      <c r="E72" s="48"/>
      <c r="F72" s="143"/>
      <c r="G72" s="53"/>
      <c r="H72" s="48"/>
      <c r="I72" s="143"/>
    </row>
    <row r="73" spans="3:9" x14ac:dyDescent="0.25">
      <c r="C73" s="143"/>
      <c r="D73" s="223"/>
      <c r="E73" s="223"/>
      <c r="F73" s="223"/>
      <c r="G73" s="223"/>
      <c r="H73" s="147"/>
      <c r="I73" s="143"/>
    </row>
    <row r="74" spans="3:9" x14ac:dyDescent="0.25">
      <c r="C74" s="143"/>
      <c r="D74" s="222"/>
      <c r="E74" s="222"/>
      <c r="F74" s="143"/>
      <c r="G74" s="222"/>
      <c r="H74" s="222"/>
      <c r="I74" s="143"/>
    </row>
    <row r="75" spans="3:9" x14ac:dyDescent="0.25">
      <c r="C75" s="143"/>
      <c r="D75" s="49" t="s">
        <v>0</v>
      </c>
      <c r="E75" s="50" t="s">
        <v>1</v>
      </c>
      <c r="F75" s="143"/>
      <c r="G75" s="49" t="s">
        <v>0</v>
      </c>
      <c r="H75" s="50" t="s">
        <v>1</v>
      </c>
      <c r="I75" s="143"/>
    </row>
    <row r="76" spans="3:9" x14ac:dyDescent="0.25">
      <c r="C76" s="143"/>
      <c r="D76" s="52" t="str">
        <f>IFERROR(VLOOKUP(D74,'TABLA DINAMICA'!$B$3:$E$50,3,0),"")</f>
        <v/>
      </c>
      <c r="E76" s="52" t="str">
        <f>IFERROR(VLOOKUP(D74,'TABLA DINAMICA'!$B$3:$E$50,4,0),"")</f>
        <v/>
      </c>
      <c r="F76" s="143"/>
      <c r="G76" s="52" t="str">
        <f>IFERROR(VLOOKUP(G74,'TABLA DINAMICA'!$B$3:$E$50,3,0),"")</f>
        <v/>
      </c>
      <c r="H76" s="52" t="str">
        <f>IFERROR(VLOOKUP(G74,'TABLA DINAMICA'!$B$3:$E$50,4,0),"")</f>
        <v/>
      </c>
      <c r="I76" s="143"/>
    </row>
    <row r="77" spans="3:9" x14ac:dyDescent="0.25">
      <c r="C77" s="143"/>
      <c r="D77" s="52" t="e">
        <f>IF(D76&gt;=E76,(D76-E76),"")</f>
        <v>#VALUE!</v>
      </c>
      <c r="E77" s="52" t="str">
        <f>IF(E76&gt;D76,(E76-D76),"")</f>
        <v/>
      </c>
      <c r="F77" s="143"/>
      <c r="G77" s="52" t="e">
        <f>IF(G76&gt;=H76,(G76-H76),"")</f>
        <v>#VALUE!</v>
      </c>
      <c r="H77" s="52" t="str">
        <f>IF(H76&gt;G76,(H76-G76),"")</f>
        <v/>
      </c>
      <c r="I77" s="143"/>
    </row>
    <row r="78" spans="3:9" x14ac:dyDescent="0.25">
      <c r="C78" s="143"/>
      <c r="D78" s="53"/>
      <c r="E78" s="48"/>
      <c r="F78" s="143"/>
      <c r="G78" s="53"/>
      <c r="H78" s="48"/>
      <c r="I78" s="143"/>
    </row>
    <row r="79" spans="3:9" x14ac:dyDescent="0.25">
      <c r="C79" s="143"/>
      <c r="D79" s="53"/>
      <c r="E79" s="48"/>
      <c r="F79" s="143"/>
      <c r="G79" s="53"/>
      <c r="H79" s="48"/>
      <c r="I79" s="143"/>
    </row>
    <row r="80" spans="3:9" x14ac:dyDescent="0.25">
      <c r="C80" s="143"/>
      <c r="D80" s="53"/>
      <c r="E80" s="48"/>
      <c r="F80" s="143"/>
      <c r="G80" s="53"/>
      <c r="H80" s="48"/>
      <c r="I80" s="143"/>
    </row>
    <row r="81" spans="3:9" x14ac:dyDescent="0.25">
      <c r="C81" s="143"/>
      <c r="D81" s="53"/>
      <c r="E81" s="48"/>
      <c r="F81" s="143"/>
      <c r="G81" s="53"/>
      <c r="H81" s="48"/>
      <c r="I81" s="143"/>
    </row>
    <row r="82" spans="3:9" x14ac:dyDescent="0.25">
      <c r="C82" s="143"/>
      <c r="D82" s="223"/>
      <c r="E82" s="223"/>
      <c r="F82" s="223"/>
      <c r="G82" s="223"/>
      <c r="H82" s="147"/>
      <c r="I82" s="143"/>
    </row>
    <row r="83" spans="3:9" x14ac:dyDescent="0.25">
      <c r="C83" s="143"/>
      <c r="D83" s="223"/>
      <c r="E83" s="223"/>
      <c r="F83" s="223"/>
      <c r="G83" s="223"/>
      <c r="H83" s="147"/>
      <c r="I83" s="143"/>
    </row>
    <row r="84" spans="3:9" x14ac:dyDescent="0.25">
      <c r="C84" s="143"/>
      <c r="D84" s="222"/>
      <c r="E84" s="222"/>
      <c r="F84" s="143"/>
      <c r="G84" s="222"/>
      <c r="H84" s="222"/>
      <c r="I84" s="143"/>
    </row>
    <row r="85" spans="3:9" x14ac:dyDescent="0.25">
      <c r="C85" s="143"/>
      <c r="D85" s="49" t="s">
        <v>0</v>
      </c>
      <c r="E85" s="50" t="s">
        <v>1</v>
      </c>
      <c r="F85" s="143"/>
      <c r="G85" s="49" t="s">
        <v>0</v>
      </c>
      <c r="H85" s="50" t="s">
        <v>1</v>
      </c>
      <c r="I85" s="143"/>
    </row>
    <row r="86" spans="3:9" x14ac:dyDescent="0.25">
      <c r="C86" s="143"/>
      <c r="D86" s="52" t="str">
        <f>IFERROR(VLOOKUP(D84,'TABLA DINAMICA'!$B$3:$E$50,3,0),"")</f>
        <v/>
      </c>
      <c r="E86" s="52" t="str">
        <f>IFERROR(VLOOKUP(D84,'TABLA DINAMICA'!$B$3:$E$50,4,0),"")</f>
        <v/>
      </c>
      <c r="F86" s="143"/>
      <c r="G86" s="52" t="str">
        <f>IFERROR(VLOOKUP(G84,'TABLA DINAMICA'!$B$3:$E$50,3,0),"")</f>
        <v/>
      </c>
      <c r="H86" s="52" t="str">
        <f>IFERROR(VLOOKUP(G84,'TABLA DINAMICA'!$B$3:$E$50,4,0),"")</f>
        <v/>
      </c>
      <c r="I86" s="143"/>
    </row>
    <row r="87" spans="3:9" x14ac:dyDescent="0.25">
      <c r="C87" s="143"/>
      <c r="D87" s="52" t="e">
        <f>IF(D86&gt;=E86,(D86-E86),"")</f>
        <v>#VALUE!</v>
      </c>
      <c r="E87" s="52" t="str">
        <f>IF(E86&gt;D86,(E86-D86),"")</f>
        <v/>
      </c>
      <c r="F87" s="143"/>
      <c r="G87" s="52" t="e">
        <f>IF(G86&gt;=H86,(G86-H86),"")</f>
        <v>#VALUE!</v>
      </c>
      <c r="H87" s="52" t="str">
        <f>IF(H86&gt;G86,(H86-G86),"")</f>
        <v/>
      </c>
      <c r="I87" s="143"/>
    </row>
    <row r="88" spans="3:9" x14ac:dyDescent="0.25">
      <c r="C88" s="143"/>
      <c r="D88" s="53"/>
      <c r="E88" s="48"/>
      <c r="F88" s="143"/>
      <c r="G88" s="53"/>
      <c r="H88" s="48"/>
      <c r="I88" s="143"/>
    </row>
    <row r="89" spans="3:9" x14ac:dyDescent="0.25">
      <c r="C89" s="143"/>
      <c r="D89" s="53"/>
      <c r="E89" s="48"/>
      <c r="F89" s="143"/>
      <c r="G89" s="53"/>
      <c r="H89" s="48"/>
      <c r="I89" s="143"/>
    </row>
    <row r="90" spans="3:9" x14ac:dyDescent="0.25">
      <c r="C90" s="143"/>
      <c r="D90" s="53"/>
      <c r="E90" s="48"/>
      <c r="F90" s="143"/>
      <c r="G90" s="53"/>
      <c r="H90" s="48"/>
      <c r="I90" s="143"/>
    </row>
    <row r="91" spans="3:9" x14ac:dyDescent="0.25">
      <c r="C91" s="143"/>
      <c r="D91" s="53"/>
      <c r="E91" s="48"/>
      <c r="F91" s="143"/>
      <c r="G91" s="53"/>
      <c r="H91" s="48"/>
      <c r="I91" s="143"/>
    </row>
    <row r="92" spans="3:9" x14ac:dyDescent="0.25">
      <c r="C92" s="143"/>
      <c r="D92" s="223"/>
      <c r="E92" s="223"/>
      <c r="F92" s="223"/>
      <c r="G92" s="223"/>
      <c r="H92" s="147"/>
      <c r="I92" s="143"/>
    </row>
    <row r="93" spans="3:9" x14ac:dyDescent="0.25">
      <c r="C93" s="143"/>
      <c r="D93" s="222"/>
      <c r="E93" s="222"/>
      <c r="F93" s="143"/>
      <c r="G93" s="222"/>
      <c r="H93" s="222"/>
      <c r="I93" s="143"/>
    </row>
    <row r="94" spans="3:9" x14ac:dyDescent="0.25">
      <c r="C94" s="143"/>
      <c r="D94" s="49" t="s">
        <v>0</v>
      </c>
      <c r="E94" s="50" t="s">
        <v>1</v>
      </c>
      <c r="F94" s="143"/>
      <c r="G94" s="49" t="s">
        <v>0</v>
      </c>
      <c r="H94" s="50" t="s">
        <v>1</v>
      </c>
      <c r="I94" s="143"/>
    </row>
    <row r="95" spans="3:9" x14ac:dyDescent="0.25">
      <c r="C95" s="143"/>
      <c r="D95" s="52" t="str">
        <f>IFERROR(VLOOKUP(D93,'TABLA DINAMICA'!$B$3:$E$50,3,0),"")</f>
        <v/>
      </c>
      <c r="E95" s="52" t="str">
        <f>IFERROR(VLOOKUP(D93,'TABLA DINAMICA'!$B$3:$E$50,4,0),"")</f>
        <v/>
      </c>
      <c r="F95" s="143"/>
      <c r="G95" s="52" t="str">
        <f>IFERROR(VLOOKUP(G93,'TABLA DINAMICA'!$B$3:$E$50,3,0),"")</f>
        <v/>
      </c>
      <c r="H95" s="52" t="str">
        <f>IFERROR(VLOOKUP(G93,'TABLA DINAMICA'!$B$3:$E$50,4,0),"")</f>
        <v/>
      </c>
      <c r="I95" s="143"/>
    </row>
    <row r="96" spans="3:9" x14ac:dyDescent="0.25">
      <c r="C96" s="143"/>
      <c r="D96" s="52" t="e">
        <f>IF(D95&gt;=E95,(D95-E95),"")</f>
        <v>#VALUE!</v>
      </c>
      <c r="E96" s="52" t="str">
        <f>IF(E95&gt;D95,(E95-D95),"")</f>
        <v/>
      </c>
      <c r="F96" s="143"/>
      <c r="G96" s="52" t="e">
        <f>IF(G95&gt;=H95,(G95-H95),"")</f>
        <v>#VALUE!</v>
      </c>
      <c r="H96" s="52" t="str">
        <f>IF(H95&gt;G95,(H95-G95),"")</f>
        <v/>
      </c>
      <c r="I96" s="143"/>
    </row>
    <row r="97" spans="3:9" x14ac:dyDescent="0.25">
      <c r="C97" s="143"/>
      <c r="D97" s="53"/>
      <c r="E97" s="48"/>
      <c r="F97" s="143"/>
      <c r="G97" s="53"/>
      <c r="H97" s="48"/>
      <c r="I97" s="143"/>
    </row>
    <row r="98" spans="3:9" x14ac:dyDescent="0.25">
      <c r="C98" s="143"/>
      <c r="D98" s="53"/>
      <c r="E98" s="48"/>
      <c r="F98" s="143"/>
      <c r="G98" s="53"/>
      <c r="H98" s="48"/>
      <c r="I98" s="143"/>
    </row>
    <row r="99" spans="3:9" x14ac:dyDescent="0.25">
      <c r="C99" s="143"/>
      <c r="D99" s="53"/>
      <c r="E99" s="48"/>
      <c r="F99" s="143"/>
      <c r="G99" s="53"/>
      <c r="H99" s="48"/>
      <c r="I99" s="143"/>
    </row>
    <row r="100" spans="3:9" x14ac:dyDescent="0.25">
      <c r="C100" s="143"/>
      <c r="D100" s="53"/>
      <c r="E100" s="48"/>
      <c r="F100" s="143"/>
      <c r="G100" s="53"/>
      <c r="H100" s="48"/>
      <c r="I100" s="143"/>
    </row>
    <row r="101" spans="3:9" x14ac:dyDescent="0.25">
      <c r="C101" s="143"/>
      <c r="D101" s="223"/>
      <c r="E101" s="223"/>
      <c r="F101" s="223"/>
      <c r="G101" s="223"/>
      <c r="H101" s="147"/>
      <c r="I101" s="143"/>
    </row>
    <row r="102" spans="3:9" x14ac:dyDescent="0.25">
      <c r="C102" s="143"/>
      <c r="D102" s="222"/>
      <c r="E102" s="222"/>
      <c r="F102" s="143"/>
      <c r="G102" s="222"/>
      <c r="H102" s="222"/>
      <c r="I102" s="143"/>
    </row>
    <row r="103" spans="3:9" x14ac:dyDescent="0.25">
      <c r="C103" s="143"/>
      <c r="D103" s="49" t="s">
        <v>0</v>
      </c>
      <c r="E103" s="50" t="s">
        <v>1</v>
      </c>
      <c r="F103" s="143"/>
      <c r="G103" s="49" t="s">
        <v>0</v>
      </c>
      <c r="H103" s="50" t="s">
        <v>1</v>
      </c>
      <c r="I103" s="143"/>
    </row>
    <row r="104" spans="3:9" x14ac:dyDescent="0.25">
      <c r="C104" s="143"/>
      <c r="D104" s="52" t="str">
        <f>IFERROR(VLOOKUP(D102,'TABLA DINAMICA'!$B$3:$E$50,3,0),"")</f>
        <v/>
      </c>
      <c r="E104" s="52" t="str">
        <f>IFERROR(VLOOKUP(D102,'TABLA DINAMICA'!$B$3:$E$50,4,0),"")</f>
        <v/>
      </c>
      <c r="F104" s="143"/>
      <c r="G104" s="52" t="str">
        <f>IFERROR(VLOOKUP(G102,'TABLA DINAMICA'!$B$3:$E$50,3,0),"")</f>
        <v/>
      </c>
      <c r="H104" s="52" t="str">
        <f>IFERROR(VLOOKUP(G102,'TABLA DINAMICA'!$B$3:$E$50,4,0),"")</f>
        <v/>
      </c>
      <c r="I104" s="143"/>
    </row>
    <row r="105" spans="3:9" x14ac:dyDescent="0.25">
      <c r="C105" s="143"/>
      <c r="D105" s="52" t="e">
        <f>IF(D104&gt;=E104,(D104-E104),"")</f>
        <v>#VALUE!</v>
      </c>
      <c r="E105" s="52" t="str">
        <f>IF(E104&gt;D104,(E104-D104),"")</f>
        <v/>
      </c>
      <c r="F105" s="143"/>
      <c r="G105" s="52" t="e">
        <f>IF(G104&gt;=H104,(G104-H104),"")</f>
        <v>#VALUE!</v>
      </c>
      <c r="H105" s="52" t="str">
        <f>IF(H104&gt;G104,(H104-G104),"")</f>
        <v/>
      </c>
      <c r="I105" s="143"/>
    </row>
    <row r="106" spans="3:9" x14ac:dyDescent="0.25">
      <c r="C106" s="143"/>
      <c r="D106" s="53"/>
      <c r="E106" s="48"/>
      <c r="F106" s="143"/>
      <c r="G106" s="53"/>
      <c r="H106" s="48"/>
      <c r="I106" s="143"/>
    </row>
    <row r="107" spans="3:9" x14ac:dyDescent="0.25">
      <c r="C107" s="143"/>
      <c r="D107" s="53"/>
      <c r="E107" s="48"/>
      <c r="F107" s="143"/>
      <c r="G107" s="53"/>
      <c r="H107" s="48"/>
      <c r="I107" s="143"/>
    </row>
    <row r="108" spans="3:9" x14ac:dyDescent="0.25">
      <c r="C108" s="143"/>
      <c r="D108" s="53"/>
      <c r="E108" s="48"/>
      <c r="F108" s="143"/>
      <c r="G108" s="53"/>
      <c r="H108" s="48"/>
      <c r="I108" s="143"/>
    </row>
    <row r="109" spans="3:9" x14ac:dyDescent="0.25">
      <c r="C109" s="143"/>
      <c r="D109" s="53"/>
      <c r="E109" s="48"/>
      <c r="F109" s="143"/>
      <c r="G109" s="53"/>
      <c r="H109" s="48"/>
      <c r="I109" s="143"/>
    </row>
    <row r="110" spans="3:9" x14ac:dyDescent="0.25">
      <c r="C110" s="143"/>
      <c r="D110" s="223"/>
      <c r="E110" s="223"/>
      <c r="F110" s="223"/>
      <c r="G110" s="223"/>
      <c r="H110" s="147"/>
      <c r="I110" s="143"/>
    </row>
    <row r="111" spans="3:9" x14ac:dyDescent="0.25">
      <c r="C111" s="143"/>
      <c r="D111" s="222"/>
      <c r="E111" s="222"/>
      <c r="F111" s="143"/>
      <c r="G111" s="222"/>
      <c r="H111" s="222"/>
      <c r="I111" s="143"/>
    </row>
    <row r="112" spans="3:9" x14ac:dyDescent="0.25">
      <c r="C112" s="143"/>
      <c r="D112" s="49" t="s">
        <v>0</v>
      </c>
      <c r="E112" s="50" t="s">
        <v>1</v>
      </c>
      <c r="F112" s="143"/>
      <c r="G112" s="49" t="s">
        <v>0</v>
      </c>
      <c r="H112" s="50" t="s">
        <v>1</v>
      </c>
      <c r="I112" s="143"/>
    </row>
    <row r="113" spans="3:9" x14ac:dyDescent="0.25">
      <c r="C113" s="143"/>
      <c r="D113" s="52" t="str">
        <f>IFERROR(VLOOKUP(D111,'TABLA DINAMICA'!$B$3:$E$50,3,0),"")</f>
        <v/>
      </c>
      <c r="E113" s="52" t="str">
        <f>IFERROR(VLOOKUP(D111,'TABLA DINAMICA'!$B$3:$E$50,4,0),"")</f>
        <v/>
      </c>
      <c r="F113" s="143"/>
      <c r="G113" s="52" t="str">
        <f>IFERROR(VLOOKUP(G111,'TABLA DINAMICA'!$B$3:$E$50,3,0),"")</f>
        <v/>
      </c>
      <c r="H113" s="52" t="str">
        <f>IFERROR(VLOOKUP(G111,'TABLA DINAMICA'!$B$3:$E$50,4,0),"")</f>
        <v/>
      </c>
      <c r="I113" s="143"/>
    </row>
    <row r="114" spans="3:9" x14ac:dyDescent="0.25">
      <c r="C114" s="143"/>
      <c r="D114" s="52" t="e">
        <f>IF(D113&gt;=E113,(D113-E113),"")</f>
        <v>#VALUE!</v>
      </c>
      <c r="E114" s="52" t="str">
        <f>IF(E113&gt;D113,(E113-D113),"")</f>
        <v/>
      </c>
      <c r="F114" s="143"/>
      <c r="G114" s="52" t="e">
        <f>IF(G113&gt;=H113,(G113-H113),"")</f>
        <v>#VALUE!</v>
      </c>
      <c r="H114" s="52" t="str">
        <f>IF(H113&gt;G113,(H113-G113),"")</f>
        <v/>
      </c>
      <c r="I114" s="143"/>
    </row>
    <row r="115" spans="3:9" x14ac:dyDescent="0.25">
      <c r="C115" s="143"/>
      <c r="D115" s="53"/>
      <c r="E115" s="48"/>
      <c r="F115" s="143"/>
      <c r="G115" s="53"/>
      <c r="H115" s="48"/>
      <c r="I115" s="143"/>
    </row>
    <row r="116" spans="3:9" x14ac:dyDescent="0.25">
      <c r="C116" s="143"/>
      <c r="D116" s="53"/>
      <c r="E116" s="48"/>
      <c r="F116" s="143"/>
      <c r="G116" s="53"/>
      <c r="H116" s="48"/>
      <c r="I116" s="143"/>
    </row>
    <row r="117" spans="3:9" x14ac:dyDescent="0.25">
      <c r="C117" s="143"/>
      <c r="D117" s="53"/>
      <c r="E117" s="48"/>
      <c r="F117" s="143"/>
      <c r="G117" s="53"/>
      <c r="H117" s="48"/>
      <c r="I117" s="143"/>
    </row>
    <row r="118" spans="3:9" x14ac:dyDescent="0.25">
      <c r="C118" s="143"/>
      <c r="D118" s="53"/>
      <c r="E118" s="48"/>
      <c r="F118" s="143"/>
      <c r="G118" s="53"/>
      <c r="H118" s="48"/>
      <c r="I118" s="143"/>
    </row>
    <row r="119" spans="3:9" x14ac:dyDescent="0.25">
      <c r="C119" s="143"/>
      <c r="D119" s="223"/>
      <c r="E119" s="223"/>
      <c r="F119" s="223"/>
      <c r="G119" s="223"/>
      <c r="H119" s="147"/>
      <c r="I119" s="143"/>
    </row>
    <row r="120" spans="3:9" x14ac:dyDescent="0.25">
      <c r="C120" s="143"/>
      <c r="D120" s="222"/>
      <c r="E120" s="222"/>
      <c r="F120" s="143"/>
      <c r="G120" s="222"/>
      <c r="H120" s="222"/>
      <c r="I120" s="143"/>
    </row>
    <row r="121" spans="3:9" x14ac:dyDescent="0.25">
      <c r="C121" s="143"/>
      <c r="D121" s="49" t="s">
        <v>0</v>
      </c>
      <c r="E121" s="50" t="s">
        <v>1</v>
      </c>
      <c r="F121" s="143"/>
      <c r="G121" s="49" t="s">
        <v>0</v>
      </c>
      <c r="H121" s="50" t="s">
        <v>1</v>
      </c>
      <c r="I121" s="143"/>
    </row>
    <row r="122" spans="3:9" x14ac:dyDescent="0.25">
      <c r="C122" s="143"/>
      <c r="D122" s="52" t="str">
        <f>IFERROR(VLOOKUP(D120,'TABLA DINAMICA'!$B$3:$E$50,3,0),"")</f>
        <v/>
      </c>
      <c r="E122" s="52" t="str">
        <f>IFERROR(VLOOKUP(D120,'TABLA DINAMICA'!$B$3:$E$50,4,0),"")</f>
        <v/>
      </c>
      <c r="F122" s="143"/>
      <c r="G122" s="52" t="str">
        <f>IFERROR(VLOOKUP(G120,'TABLA DINAMICA'!$B$3:$E$50,3,0),"")</f>
        <v/>
      </c>
      <c r="H122" s="52" t="str">
        <f>IFERROR(VLOOKUP(G120,'TABLA DINAMICA'!$B$3:$E$50,4,0),"")</f>
        <v/>
      </c>
      <c r="I122" s="143"/>
    </row>
    <row r="123" spans="3:9" x14ac:dyDescent="0.25">
      <c r="C123" s="143"/>
      <c r="D123" s="52" t="e">
        <f>IF(D122&gt;=E122,(D122-E122),"")</f>
        <v>#VALUE!</v>
      </c>
      <c r="E123" s="52" t="str">
        <f>IF(E122&gt;D122,(E122-D122),"")</f>
        <v/>
      </c>
      <c r="F123" s="143"/>
      <c r="G123" s="52" t="e">
        <f>IF(G122&gt;=H122,(G122-H122),"")</f>
        <v>#VALUE!</v>
      </c>
      <c r="H123" s="52" t="str">
        <f>IF(H122&gt;G122,(H122-G122),"")</f>
        <v/>
      </c>
      <c r="I123" s="143"/>
    </row>
    <row r="124" spans="3:9" x14ac:dyDescent="0.25">
      <c r="C124" s="143"/>
      <c r="D124" s="53"/>
      <c r="E124" s="48"/>
      <c r="F124" s="143"/>
      <c r="G124" s="53"/>
      <c r="H124" s="48"/>
      <c r="I124" s="143"/>
    </row>
    <row r="125" spans="3:9" x14ac:dyDescent="0.25">
      <c r="C125" s="143"/>
      <c r="D125" s="53"/>
      <c r="E125" s="48"/>
      <c r="F125" s="143"/>
      <c r="G125" s="53"/>
      <c r="H125" s="48"/>
      <c r="I125" s="143"/>
    </row>
    <row r="126" spans="3:9" x14ac:dyDescent="0.25">
      <c r="C126" s="143"/>
      <c r="D126" s="53"/>
      <c r="E126" s="48"/>
      <c r="F126" s="143"/>
      <c r="G126" s="53"/>
      <c r="H126" s="48"/>
      <c r="I126" s="143"/>
    </row>
    <row r="127" spans="3:9" x14ac:dyDescent="0.25">
      <c r="C127" s="143"/>
      <c r="D127" s="53"/>
      <c r="E127" s="48"/>
      <c r="F127" s="143"/>
      <c r="G127" s="53"/>
      <c r="H127" s="48"/>
      <c r="I127" s="143"/>
    </row>
    <row r="128" spans="3:9" x14ac:dyDescent="0.25">
      <c r="C128" s="143"/>
      <c r="D128" s="148"/>
      <c r="E128" s="148"/>
      <c r="F128" s="148"/>
      <c r="G128" s="148"/>
      <c r="H128" s="148"/>
      <c r="I128" s="143"/>
    </row>
    <row r="129" spans="3:9" x14ac:dyDescent="0.25">
      <c r="C129" s="143"/>
      <c r="D129" s="222"/>
      <c r="E129" s="222"/>
      <c r="F129" s="143"/>
      <c r="G129" s="222"/>
      <c r="H129" s="222"/>
      <c r="I129" s="143"/>
    </row>
    <row r="130" spans="3:9" x14ac:dyDescent="0.25">
      <c r="C130" s="143"/>
      <c r="D130" s="49" t="s">
        <v>0</v>
      </c>
      <c r="E130" s="50" t="s">
        <v>1</v>
      </c>
      <c r="F130" s="143"/>
      <c r="G130" s="49" t="s">
        <v>0</v>
      </c>
      <c r="H130" s="50" t="s">
        <v>1</v>
      </c>
      <c r="I130" s="143"/>
    </row>
    <row r="131" spans="3:9" x14ac:dyDescent="0.25">
      <c r="C131" s="143"/>
      <c r="D131" s="52" t="str">
        <f>IFERROR(VLOOKUP(D129,'TABLA DINAMICA'!$B$3:$E$50,3,0),"")</f>
        <v/>
      </c>
      <c r="E131" s="52" t="str">
        <f>IFERROR(VLOOKUP(D129,'TABLA DINAMICA'!$B$3:$E$50,4,0),"")</f>
        <v/>
      </c>
      <c r="F131" s="143"/>
      <c r="G131" s="52" t="str">
        <f>IFERROR(VLOOKUP(G129,'TABLA DINAMICA'!$B$3:$E$50,3,0),"")</f>
        <v/>
      </c>
      <c r="H131" s="52" t="str">
        <f>IFERROR(VLOOKUP(G129,'TABLA DINAMICA'!$B$3:$E$50,4,0),"")</f>
        <v/>
      </c>
      <c r="I131" s="143"/>
    </row>
    <row r="132" spans="3:9" x14ac:dyDescent="0.25">
      <c r="C132" s="143"/>
      <c r="D132" s="52" t="e">
        <f>IF(D131&gt;=E131,(D131-E131),"")</f>
        <v>#VALUE!</v>
      </c>
      <c r="E132" s="52" t="str">
        <f>IF(E131&gt;D131,(E131-D131),"")</f>
        <v/>
      </c>
      <c r="F132" s="143"/>
      <c r="G132" s="52" t="e">
        <f>IF(G131&gt;=H131,(G131-H131),"")</f>
        <v>#VALUE!</v>
      </c>
      <c r="H132" s="52" t="str">
        <f>IF(H131&gt;G131,(H131-G131),"")</f>
        <v/>
      </c>
      <c r="I132" s="143"/>
    </row>
    <row r="133" spans="3:9" x14ac:dyDescent="0.25">
      <c r="C133" s="143"/>
      <c r="D133" s="53"/>
      <c r="E133" s="48"/>
      <c r="F133" s="143"/>
      <c r="G133" s="53"/>
      <c r="H133" s="48"/>
      <c r="I133" s="143"/>
    </row>
    <row r="134" spans="3:9" x14ac:dyDescent="0.25">
      <c r="C134" s="143"/>
      <c r="D134" s="53"/>
      <c r="E134" s="48"/>
      <c r="F134" s="143"/>
      <c r="G134" s="53"/>
      <c r="H134" s="48"/>
      <c r="I134" s="143"/>
    </row>
    <row r="135" spans="3:9" x14ac:dyDescent="0.25">
      <c r="C135" s="143"/>
      <c r="D135" s="53"/>
      <c r="E135" s="48"/>
      <c r="F135" s="143"/>
      <c r="G135" s="53"/>
      <c r="H135" s="48"/>
      <c r="I135" s="143"/>
    </row>
    <row r="136" spans="3:9" x14ac:dyDescent="0.25">
      <c r="C136" s="143"/>
      <c r="D136" s="53"/>
      <c r="E136" s="48"/>
      <c r="F136" s="143"/>
      <c r="G136" s="53"/>
      <c r="H136" s="48"/>
      <c r="I136" s="143"/>
    </row>
    <row r="137" spans="3:9" x14ac:dyDescent="0.25">
      <c r="C137" s="143"/>
      <c r="D137" s="148"/>
      <c r="E137" s="148"/>
      <c r="F137" s="148"/>
      <c r="G137" s="148"/>
      <c r="H137" s="148"/>
      <c r="I137" s="143"/>
    </row>
    <row r="138" spans="3:9" x14ac:dyDescent="0.25">
      <c r="C138" s="143"/>
      <c r="D138" s="222"/>
      <c r="E138" s="222"/>
      <c r="F138" s="143"/>
      <c r="G138" s="222"/>
      <c r="H138" s="222"/>
      <c r="I138" s="143"/>
    </row>
    <row r="139" spans="3:9" x14ac:dyDescent="0.25">
      <c r="C139" s="143"/>
      <c r="D139" s="49" t="s">
        <v>0</v>
      </c>
      <c r="E139" s="50" t="s">
        <v>1</v>
      </c>
      <c r="F139" s="143"/>
      <c r="G139" s="49" t="s">
        <v>0</v>
      </c>
      <c r="H139" s="50" t="s">
        <v>1</v>
      </c>
      <c r="I139" s="143"/>
    </row>
    <row r="140" spans="3:9" x14ac:dyDescent="0.25">
      <c r="C140" s="143"/>
      <c r="D140" s="52" t="str">
        <f>IFERROR(VLOOKUP(D138,'TABLA DINAMICA'!$B$3:$E$50,3,0),"")</f>
        <v/>
      </c>
      <c r="E140" s="52" t="str">
        <f>IFERROR(VLOOKUP(D138,'TABLA DINAMICA'!$B$3:$E$50,4,0),"")</f>
        <v/>
      </c>
      <c r="F140" s="143"/>
      <c r="G140" s="52" t="str">
        <f>IFERROR(VLOOKUP(G138,'TABLA DINAMICA'!$B$3:$E$50,3,0),"")</f>
        <v/>
      </c>
      <c r="H140" s="52" t="str">
        <f>IFERROR(VLOOKUP(G138,'TABLA DINAMICA'!$B$3:$E$50,4,0),"")</f>
        <v/>
      </c>
      <c r="I140" s="143"/>
    </row>
    <row r="141" spans="3:9" x14ac:dyDescent="0.25">
      <c r="C141" s="143"/>
      <c r="D141" s="52" t="e">
        <f>IF(D140&gt;=E140,(D140-E140),"")</f>
        <v>#VALUE!</v>
      </c>
      <c r="E141" s="52" t="str">
        <f>IF(E140&gt;D140,(E140-D140),"")</f>
        <v/>
      </c>
      <c r="F141" s="143"/>
      <c r="G141" s="52" t="e">
        <f>IF(G140&gt;=H140,(G140-H140),"")</f>
        <v>#VALUE!</v>
      </c>
      <c r="H141" s="52" t="str">
        <f>IF(H140&gt;G140,(H140-G140),"")</f>
        <v/>
      </c>
      <c r="I141" s="143"/>
    </row>
    <row r="142" spans="3:9" x14ac:dyDescent="0.25">
      <c r="C142" s="143"/>
      <c r="D142" s="53"/>
      <c r="E142" s="48"/>
      <c r="F142" s="143"/>
      <c r="G142" s="53"/>
      <c r="H142" s="48"/>
      <c r="I142" s="143"/>
    </row>
    <row r="143" spans="3:9" x14ac:dyDescent="0.25">
      <c r="C143" s="143"/>
      <c r="D143" s="53"/>
      <c r="E143" s="48"/>
      <c r="F143" s="143"/>
      <c r="G143" s="53"/>
      <c r="H143" s="48"/>
      <c r="I143" s="143"/>
    </row>
    <row r="144" spans="3:9" x14ac:dyDescent="0.25">
      <c r="C144" s="143"/>
      <c r="D144" s="53"/>
      <c r="E144" s="48"/>
      <c r="F144" s="143"/>
      <c r="G144" s="53"/>
      <c r="H144" s="48"/>
      <c r="I144" s="143"/>
    </row>
    <row r="145" spans="3:9" x14ac:dyDescent="0.25">
      <c r="C145" s="143"/>
      <c r="D145" s="53"/>
      <c r="E145" s="48"/>
      <c r="F145" s="143"/>
      <c r="G145" s="53"/>
      <c r="H145" s="48"/>
      <c r="I145" s="143"/>
    </row>
    <row r="146" spans="3:9" x14ac:dyDescent="0.25">
      <c r="C146" s="143"/>
      <c r="D146" s="148"/>
      <c r="E146" s="148"/>
      <c r="F146" s="148"/>
      <c r="G146" s="148"/>
      <c r="H146" s="148"/>
      <c r="I146" s="143"/>
    </row>
    <row r="147" spans="3:9" x14ac:dyDescent="0.25">
      <c r="C147" s="143"/>
      <c r="D147" s="222"/>
      <c r="E147" s="222"/>
      <c r="F147" s="143"/>
      <c r="G147" s="222"/>
      <c r="H147" s="222"/>
      <c r="I147" s="143"/>
    </row>
    <row r="148" spans="3:9" x14ac:dyDescent="0.25">
      <c r="C148" s="143"/>
      <c r="D148" s="49" t="s">
        <v>0</v>
      </c>
      <c r="E148" s="50" t="s">
        <v>1</v>
      </c>
      <c r="F148" s="143"/>
      <c r="G148" s="49" t="s">
        <v>0</v>
      </c>
      <c r="H148" s="50" t="s">
        <v>1</v>
      </c>
      <c r="I148" s="143"/>
    </row>
    <row r="149" spans="3:9" x14ac:dyDescent="0.25">
      <c r="C149" s="143"/>
      <c r="D149" s="52" t="str">
        <f>IFERROR(VLOOKUP(D147,'TABLA DINAMICA'!$B$3:$E$50,3,0),"")</f>
        <v/>
      </c>
      <c r="E149" s="52" t="str">
        <f>IFERROR(VLOOKUP(D147,'TABLA DINAMICA'!$B$3:$E$50,4,0),"")</f>
        <v/>
      </c>
      <c r="F149" s="143"/>
      <c r="G149" s="52" t="str">
        <f>IFERROR(VLOOKUP(G147,'TABLA DINAMICA'!$B$3:$E$50,3,0),"")</f>
        <v/>
      </c>
      <c r="H149" s="52" t="str">
        <f>IFERROR(VLOOKUP(G147,'TABLA DINAMICA'!$B$3:$E$50,4,0),"")</f>
        <v/>
      </c>
      <c r="I149" s="143"/>
    </row>
    <row r="150" spans="3:9" x14ac:dyDescent="0.25">
      <c r="C150" s="143"/>
      <c r="D150" s="52" t="e">
        <f>IF(D149&gt;=E149,(D149-E149),"")</f>
        <v>#VALUE!</v>
      </c>
      <c r="E150" s="52" t="str">
        <f>IF(E149&gt;D149,(E149-D149),"")</f>
        <v/>
      </c>
      <c r="F150" s="143"/>
      <c r="G150" s="52" t="e">
        <f>IF(G149&gt;=H149,(G149-H149),"")</f>
        <v>#VALUE!</v>
      </c>
      <c r="H150" s="52" t="str">
        <f>IF(H149&gt;G149,(H149-G149),"")</f>
        <v/>
      </c>
      <c r="I150" s="143"/>
    </row>
    <row r="151" spans="3:9" x14ac:dyDescent="0.25">
      <c r="C151" s="143"/>
      <c r="D151" s="53"/>
      <c r="E151" s="48"/>
      <c r="F151" s="143"/>
      <c r="G151" s="53"/>
      <c r="H151" s="48"/>
      <c r="I151" s="143"/>
    </row>
    <row r="152" spans="3:9" x14ac:dyDescent="0.25">
      <c r="C152" s="143"/>
      <c r="D152" s="53"/>
      <c r="E152" s="48"/>
      <c r="F152" s="143"/>
      <c r="G152" s="53"/>
      <c r="H152" s="48"/>
      <c r="I152" s="143"/>
    </row>
    <row r="153" spans="3:9" x14ac:dyDescent="0.25">
      <c r="C153" s="143"/>
      <c r="D153" s="53"/>
      <c r="E153" s="48"/>
      <c r="F153" s="143"/>
      <c r="G153" s="53"/>
      <c r="H153" s="48"/>
      <c r="I153" s="143"/>
    </row>
    <row r="154" spans="3:9" x14ac:dyDescent="0.25">
      <c r="C154" s="143"/>
      <c r="D154" s="53"/>
      <c r="E154" s="48"/>
      <c r="F154" s="143"/>
      <c r="G154" s="53"/>
      <c r="H154" s="48"/>
      <c r="I154" s="143"/>
    </row>
    <row r="155" spans="3:9" x14ac:dyDescent="0.25">
      <c r="C155" s="143"/>
      <c r="D155" s="148"/>
      <c r="E155" s="148"/>
      <c r="F155" s="148"/>
      <c r="G155" s="148"/>
      <c r="H155" s="148"/>
      <c r="I155" s="143"/>
    </row>
    <row r="156" spans="3:9" x14ac:dyDescent="0.25">
      <c r="C156" s="143"/>
      <c r="D156" s="222"/>
      <c r="E156" s="222"/>
      <c r="F156" s="143"/>
      <c r="G156" s="222"/>
      <c r="H156" s="222"/>
      <c r="I156" s="143"/>
    </row>
    <row r="157" spans="3:9" x14ac:dyDescent="0.25">
      <c r="C157" s="143"/>
      <c r="D157" s="49" t="s">
        <v>0</v>
      </c>
      <c r="E157" s="50" t="s">
        <v>1</v>
      </c>
      <c r="F157" s="143"/>
      <c r="G157" s="49" t="s">
        <v>0</v>
      </c>
      <c r="H157" s="50" t="s">
        <v>1</v>
      </c>
      <c r="I157" s="143"/>
    </row>
    <row r="158" spans="3:9" x14ac:dyDescent="0.25">
      <c r="C158" s="143"/>
      <c r="D158" s="52" t="str">
        <f>IFERROR(VLOOKUP(D156,'TABLA DINAMICA'!$B$3:$E$50,3,0),"")</f>
        <v/>
      </c>
      <c r="E158" s="52" t="str">
        <f>IFERROR(VLOOKUP(D156,'TABLA DINAMICA'!$B$3:$E$50,4,0),"")</f>
        <v/>
      </c>
      <c r="F158" s="143"/>
      <c r="G158" s="52" t="str">
        <f>IFERROR(VLOOKUP(G156,'TABLA DINAMICA'!$B$3:$E$50,3,0),"")</f>
        <v/>
      </c>
      <c r="H158" s="52" t="str">
        <f>IFERROR(VLOOKUP(G156,'TABLA DINAMICA'!$B$3:$E$50,4,0),"")</f>
        <v/>
      </c>
      <c r="I158" s="143"/>
    </row>
    <row r="159" spans="3:9" x14ac:dyDescent="0.25">
      <c r="C159" s="143"/>
      <c r="D159" s="52" t="e">
        <f>IF(D158&gt;=E158,(D158-E158),"")</f>
        <v>#VALUE!</v>
      </c>
      <c r="E159" s="52" t="str">
        <f>IF(E158&gt;D158,(E158-D158),"")</f>
        <v/>
      </c>
      <c r="F159" s="143"/>
      <c r="G159" s="52" t="e">
        <f>IF(G158&gt;=H158,(G158-H158),"")</f>
        <v>#VALUE!</v>
      </c>
      <c r="H159" s="52" t="str">
        <f>IF(H158&gt;G158,(H158-G158),"")</f>
        <v/>
      </c>
      <c r="I159" s="143"/>
    </row>
    <row r="160" spans="3:9" x14ac:dyDescent="0.25">
      <c r="C160" s="143"/>
      <c r="D160" s="53"/>
      <c r="E160" s="48"/>
      <c r="F160" s="143"/>
      <c r="G160" s="53"/>
      <c r="H160" s="48"/>
      <c r="I160" s="143"/>
    </row>
    <row r="161" spans="3:9" x14ac:dyDescent="0.25">
      <c r="C161" s="143"/>
      <c r="D161" s="53"/>
      <c r="E161" s="48"/>
      <c r="F161" s="143"/>
      <c r="G161" s="53"/>
      <c r="H161" s="48"/>
      <c r="I161" s="143"/>
    </row>
    <row r="162" spans="3:9" x14ac:dyDescent="0.25">
      <c r="C162" s="143"/>
      <c r="D162" s="53"/>
      <c r="E162" s="48"/>
      <c r="F162" s="143"/>
      <c r="G162" s="53"/>
      <c r="H162" s="48"/>
      <c r="I162" s="143"/>
    </row>
    <row r="163" spans="3:9" x14ac:dyDescent="0.25">
      <c r="C163" s="143"/>
      <c r="D163" s="53"/>
      <c r="E163" s="48"/>
      <c r="F163" s="143"/>
      <c r="G163" s="53"/>
      <c r="H163" s="48"/>
      <c r="I163" s="143"/>
    </row>
    <row r="164" spans="3:9" x14ac:dyDescent="0.25">
      <c r="C164" s="143"/>
      <c r="D164" s="148"/>
      <c r="E164" s="148"/>
      <c r="F164" s="148"/>
      <c r="G164" s="148"/>
      <c r="H164" s="148"/>
      <c r="I164" s="143"/>
    </row>
    <row r="165" spans="3:9" x14ac:dyDescent="0.25">
      <c r="C165" s="48"/>
      <c r="D165" s="54"/>
      <c r="E165" s="54"/>
      <c r="F165" s="54"/>
      <c r="G165" s="54"/>
      <c r="H165" s="54"/>
      <c r="I165" s="48"/>
    </row>
    <row r="166" spans="3:9" x14ac:dyDescent="0.25">
      <c r="C166" s="48"/>
      <c r="D166" s="54"/>
      <c r="E166" s="54"/>
      <c r="F166" s="54"/>
      <c r="G166" s="54"/>
      <c r="H166" s="54"/>
      <c r="I166" s="48"/>
    </row>
    <row r="167" spans="3:9" x14ac:dyDescent="0.25">
      <c r="C167" s="48"/>
      <c r="D167" s="54"/>
      <c r="E167" s="54"/>
      <c r="F167" s="54"/>
      <c r="G167" s="54"/>
      <c r="H167" s="54"/>
      <c r="I167" s="48"/>
    </row>
    <row r="168" spans="3:9" x14ac:dyDescent="0.25">
      <c r="C168" s="48"/>
      <c r="D168" s="54"/>
      <c r="E168" s="54"/>
      <c r="F168" s="54"/>
      <c r="G168" s="54"/>
      <c r="H168" s="54"/>
      <c r="I168" s="48"/>
    </row>
    <row r="169" spans="3:9" x14ac:dyDescent="0.25">
      <c r="C169" s="48"/>
      <c r="D169" s="54"/>
      <c r="E169" s="54"/>
      <c r="F169" s="54"/>
      <c r="G169" s="54"/>
      <c r="H169" s="54"/>
      <c r="I169" s="48"/>
    </row>
    <row r="170" spans="3:9" x14ac:dyDescent="0.25">
      <c r="C170" s="48"/>
      <c r="D170" s="54"/>
      <c r="E170" s="54"/>
      <c r="F170" s="54"/>
      <c r="G170" s="54"/>
      <c r="H170" s="54"/>
      <c r="I170" s="48"/>
    </row>
    <row r="171" spans="3:9" x14ac:dyDescent="0.25">
      <c r="C171" s="48"/>
      <c r="D171" s="54"/>
      <c r="E171" s="54"/>
      <c r="F171" s="54"/>
      <c r="G171" s="54"/>
      <c r="H171" s="54"/>
      <c r="I171" s="48"/>
    </row>
    <row r="172" spans="3:9" x14ac:dyDescent="0.25">
      <c r="C172" s="48"/>
      <c r="D172" s="54"/>
      <c r="E172" s="54"/>
      <c r="F172" s="54"/>
      <c r="G172" s="54"/>
      <c r="H172" s="54"/>
      <c r="I172" s="48"/>
    </row>
    <row r="173" spans="3:9" x14ac:dyDescent="0.25">
      <c r="C173" s="48"/>
      <c r="D173" s="54"/>
      <c r="E173" s="54"/>
      <c r="F173" s="54"/>
      <c r="G173" s="54"/>
      <c r="H173" s="54"/>
      <c r="I173" s="48"/>
    </row>
    <row r="174" spans="3:9" x14ac:dyDescent="0.25">
      <c r="C174" s="48"/>
      <c r="D174" s="54"/>
      <c r="E174" s="54"/>
      <c r="F174" s="54"/>
      <c r="G174" s="54"/>
      <c r="H174" s="54"/>
      <c r="I174" s="48"/>
    </row>
    <row r="175" spans="3:9" x14ac:dyDescent="0.25">
      <c r="C175" s="48"/>
      <c r="D175" s="54"/>
      <c r="E175" s="54"/>
      <c r="F175" s="54"/>
      <c r="G175" s="54"/>
      <c r="H175" s="54"/>
      <c r="I175" s="48"/>
    </row>
    <row r="176" spans="3:9" x14ac:dyDescent="0.25">
      <c r="C176" s="48"/>
      <c r="D176" s="54"/>
      <c r="E176" s="54"/>
      <c r="F176" s="54"/>
      <c r="G176" s="54"/>
      <c r="H176" s="54"/>
      <c r="I176" s="48"/>
    </row>
    <row r="177" spans="3:9" x14ac:dyDescent="0.25">
      <c r="C177" s="48"/>
      <c r="D177" s="54"/>
      <c r="E177" s="54"/>
      <c r="F177" s="54"/>
      <c r="G177" s="54"/>
      <c r="H177" s="54"/>
      <c r="I177" s="48"/>
    </row>
    <row r="178" spans="3:9" x14ac:dyDescent="0.25">
      <c r="C178" s="48"/>
      <c r="D178" s="54"/>
      <c r="E178" s="54"/>
      <c r="F178" s="54"/>
      <c r="G178" s="54"/>
      <c r="H178" s="54"/>
      <c r="I178" s="48"/>
    </row>
    <row r="179" spans="3:9" x14ac:dyDescent="0.25">
      <c r="C179" s="48"/>
      <c r="D179" s="54"/>
      <c r="E179" s="54"/>
      <c r="F179" s="54"/>
      <c r="G179" s="54"/>
      <c r="H179" s="54"/>
      <c r="I179" s="48"/>
    </row>
    <row r="180" spans="3:9" x14ac:dyDescent="0.25">
      <c r="C180" s="48"/>
      <c r="D180" s="54"/>
      <c r="E180" s="54"/>
      <c r="F180" s="54"/>
      <c r="G180" s="54"/>
      <c r="H180" s="54"/>
      <c r="I180" s="48"/>
    </row>
    <row r="181" spans="3:9" x14ac:dyDescent="0.25">
      <c r="C181" s="48"/>
      <c r="D181" s="54"/>
      <c r="E181" s="54"/>
      <c r="F181" s="54"/>
      <c r="G181" s="54"/>
      <c r="H181" s="54"/>
      <c r="I181" s="48"/>
    </row>
    <row r="182" spans="3:9" x14ac:dyDescent="0.25">
      <c r="C182" s="48"/>
      <c r="D182" s="54"/>
      <c r="E182" s="54"/>
      <c r="F182" s="54"/>
      <c r="G182" s="54"/>
      <c r="H182" s="54"/>
      <c r="I182" s="48"/>
    </row>
    <row r="183" spans="3:9" x14ac:dyDescent="0.25">
      <c r="C183" s="48"/>
      <c r="D183" s="54"/>
      <c r="E183" s="54"/>
      <c r="F183" s="54"/>
      <c r="G183" s="54"/>
      <c r="H183" s="54"/>
      <c r="I183" s="48"/>
    </row>
    <row r="184" spans="3:9" x14ac:dyDescent="0.25">
      <c r="C184" s="48"/>
      <c r="D184" s="54"/>
      <c r="E184" s="54"/>
      <c r="F184" s="54"/>
      <c r="G184" s="54"/>
      <c r="H184" s="54"/>
      <c r="I184" s="48"/>
    </row>
    <row r="185" spans="3:9" x14ac:dyDescent="0.25">
      <c r="C185" s="48"/>
      <c r="D185" s="54"/>
      <c r="E185" s="54"/>
      <c r="F185" s="54"/>
      <c r="G185" s="54"/>
      <c r="H185" s="54"/>
      <c r="I185" s="48"/>
    </row>
    <row r="186" spans="3:9" x14ac:dyDescent="0.25">
      <c r="C186" s="48"/>
      <c r="D186" s="54"/>
      <c r="E186" s="54"/>
      <c r="F186" s="54"/>
      <c r="G186" s="54"/>
      <c r="H186" s="54"/>
      <c r="I186" s="48"/>
    </row>
    <row r="187" spans="3:9" x14ac:dyDescent="0.25">
      <c r="C187" s="48"/>
      <c r="D187" s="54"/>
      <c r="E187" s="54"/>
      <c r="F187" s="54"/>
      <c r="G187" s="54"/>
      <c r="H187" s="54"/>
      <c r="I187" s="48"/>
    </row>
    <row r="188" spans="3:9" x14ac:dyDescent="0.25">
      <c r="C188" s="48"/>
      <c r="D188" s="54"/>
      <c r="E188" s="54"/>
      <c r="F188" s="54"/>
      <c r="G188" s="54"/>
      <c r="H188" s="54"/>
      <c r="I188" s="48"/>
    </row>
    <row r="189" spans="3:9" x14ac:dyDescent="0.25">
      <c r="C189" s="48"/>
      <c r="D189" s="54"/>
      <c r="E189" s="54"/>
      <c r="F189" s="54"/>
      <c r="G189" s="54"/>
      <c r="H189" s="54"/>
      <c r="I189" s="48"/>
    </row>
    <row r="190" spans="3:9" x14ac:dyDescent="0.25">
      <c r="C190" s="48"/>
      <c r="D190" s="54"/>
      <c r="E190" s="54"/>
      <c r="F190" s="54"/>
      <c r="G190" s="54"/>
      <c r="H190" s="54"/>
      <c r="I190" s="48"/>
    </row>
    <row r="191" spans="3:9" x14ac:dyDescent="0.25">
      <c r="C191" s="48"/>
      <c r="D191" s="54"/>
      <c r="E191" s="54"/>
      <c r="F191" s="54"/>
      <c r="G191" s="54"/>
      <c r="H191" s="54"/>
      <c r="I191" s="48"/>
    </row>
    <row r="192" spans="3:9" x14ac:dyDescent="0.25">
      <c r="C192" s="48"/>
      <c r="D192" s="54"/>
      <c r="E192" s="54"/>
      <c r="F192" s="54"/>
      <c r="G192" s="54"/>
      <c r="H192" s="54"/>
      <c r="I192" s="48"/>
    </row>
    <row r="193" spans="3:9" x14ac:dyDescent="0.25">
      <c r="C193" s="48"/>
      <c r="D193" s="54"/>
      <c r="E193" s="54"/>
      <c r="F193" s="54"/>
      <c r="G193" s="54"/>
      <c r="H193" s="54"/>
      <c r="I193" s="48"/>
    </row>
    <row r="194" spans="3:9" x14ac:dyDescent="0.25">
      <c r="C194" s="48"/>
      <c r="D194" s="54"/>
      <c r="E194" s="54"/>
      <c r="F194" s="54"/>
      <c r="G194" s="54"/>
      <c r="H194" s="54"/>
      <c r="I194" s="48"/>
    </row>
    <row r="195" spans="3:9" x14ac:dyDescent="0.25">
      <c r="C195" s="48"/>
      <c r="D195" s="54"/>
      <c r="E195" s="54"/>
      <c r="F195" s="54"/>
      <c r="G195" s="54"/>
      <c r="H195" s="54"/>
      <c r="I195" s="48"/>
    </row>
    <row r="196" spans="3:9" x14ac:dyDescent="0.25">
      <c r="C196" s="48"/>
      <c r="D196" s="54"/>
      <c r="E196" s="54"/>
      <c r="F196" s="54"/>
      <c r="G196" s="54"/>
      <c r="H196" s="54"/>
      <c r="I196" s="48"/>
    </row>
    <row r="197" spans="3:9" x14ac:dyDescent="0.25">
      <c r="C197" s="48"/>
      <c r="D197" s="54"/>
      <c r="E197" s="54"/>
      <c r="F197" s="54"/>
      <c r="G197" s="54"/>
      <c r="H197" s="54"/>
      <c r="I197" s="48"/>
    </row>
    <row r="198" spans="3:9" x14ac:dyDescent="0.25">
      <c r="C198" s="48"/>
      <c r="D198" s="54"/>
      <c r="E198" s="54"/>
      <c r="F198" s="54"/>
      <c r="G198" s="54"/>
      <c r="H198" s="54"/>
      <c r="I198" s="48"/>
    </row>
    <row r="199" spans="3:9" x14ac:dyDescent="0.25">
      <c r="C199" s="48"/>
      <c r="D199" s="48"/>
      <c r="E199" s="48"/>
      <c r="F199" s="48"/>
      <c r="G199" s="48"/>
      <c r="H199" s="48"/>
      <c r="I199" s="48"/>
    </row>
    <row r="200" spans="3:9" x14ac:dyDescent="0.25">
      <c r="C200" s="48"/>
      <c r="D200" s="48"/>
      <c r="E200" s="48"/>
      <c r="F200" s="48"/>
      <c r="G200" s="48"/>
      <c r="H200" s="48"/>
      <c r="I200" s="48"/>
    </row>
    <row r="201" spans="3:9" x14ac:dyDescent="0.25">
      <c r="C201" s="48"/>
      <c r="D201" s="48"/>
      <c r="E201" s="48"/>
      <c r="F201" s="48"/>
      <c r="G201" s="48"/>
      <c r="H201" s="48"/>
      <c r="I201" s="48"/>
    </row>
    <row r="202" spans="3:9" x14ac:dyDescent="0.25">
      <c r="C202" s="48"/>
      <c r="D202" s="48"/>
      <c r="E202" s="48"/>
      <c r="F202" s="48"/>
      <c r="G202" s="48"/>
      <c r="H202" s="48"/>
      <c r="I202" s="48"/>
    </row>
    <row r="203" spans="3:9" x14ac:dyDescent="0.25">
      <c r="C203" s="48"/>
      <c r="D203" s="48"/>
      <c r="E203" s="48"/>
      <c r="F203" s="48"/>
      <c r="G203" s="48"/>
      <c r="H203" s="48"/>
      <c r="I203" s="48"/>
    </row>
    <row r="204" spans="3:9" x14ac:dyDescent="0.25">
      <c r="C204" s="48"/>
      <c r="D204" s="48"/>
      <c r="E204" s="48"/>
      <c r="F204" s="48"/>
      <c r="G204" s="48"/>
      <c r="H204" s="48"/>
      <c r="I204" s="48"/>
    </row>
    <row r="205" spans="3:9" x14ac:dyDescent="0.25">
      <c r="C205" s="48"/>
      <c r="D205" s="48"/>
      <c r="E205" s="48"/>
      <c r="F205" s="48"/>
      <c r="G205" s="48"/>
      <c r="H205" s="48"/>
      <c r="I205" s="48"/>
    </row>
    <row r="206" spans="3:9" x14ac:dyDescent="0.25">
      <c r="C206" s="48"/>
      <c r="D206" s="48"/>
      <c r="E206" s="48"/>
      <c r="F206" s="48"/>
      <c r="G206" s="48"/>
      <c r="H206" s="48"/>
      <c r="I206" s="48"/>
    </row>
    <row r="207" spans="3:9" x14ac:dyDescent="0.25">
      <c r="C207" s="48"/>
      <c r="D207" s="48"/>
      <c r="E207" s="48"/>
      <c r="F207" s="48"/>
      <c r="G207" s="48"/>
      <c r="H207" s="48"/>
      <c r="I207" s="48"/>
    </row>
    <row r="208" spans="3:9" x14ac:dyDescent="0.25">
      <c r="C208" s="48"/>
      <c r="D208" s="48"/>
      <c r="E208" s="48"/>
      <c r="F208" s="48"/>
      <c r="G208" s="48"/>
      <c r="H208" s="48"/>
      <c r="I208" s="48"/>
    </row>
    <row r="209" spans="3:9" x14ac:dyDescent="0.25">
      <c r="C209" s="48"/>
      <c r="D209" s="48"/>
      <c r="E209" s="48"/>
      <c r="F209" s="48"/>
      <c r="G209" s="48"/>
      <c r="H209" s="48"/>
      <c r="I209" s="48"/>
    </row>
    <row r="210" spans="3:9" x14ac:dyDescent="0.25">
      <c r="C210" s="48"/>
      <c r="D210" s="48"/>
      <c r="E210" s="48"/>
      <c r="F210" s="48"/>
      <c r="G210" s="48"/>
      <c r="H210" s="48"/>
      <c r="I210" s="48"/>
    </row>
    <row r="211" spans="3:9" x14ac:dyDescent="0.25">
      <c r="C211" s="48"/>
      <c r="D211" s="48"/>
      <c r="E211" s="48"/>
      <c r="F211" s="48"/>
      <c r="G211" s="48"/>
      <c r="H211" s="48"/>
      <c r="I211" s="48"/>
    </row>
    <row r="212" spans="3:9" x14ac:dyDescent="0.25">
      <c r="C212" s="48"/>
      <c r="D212" s="48"/>
      <c r="E212" s="48"/>
      <c r="F212" s="48"/>
      <c r="G212" s="48"/>
      <c r="H212" s="48"/>
      <c r="I212" s="48"/>
    </row>
    <row r="213" spans="3:9" x14ac:dyDescent="0.25">
      <c r="C213" s="48"/>
      <c r="D213" s="48"/>
      <c r="E213" s="48"/>
      <c r="F213" s="48"/>
      <c r="G213" s="48"/>
      <c r="H213" s="48"/>
      <c r="I213" s="48"/>
    </row>
    <row r="214" spans="3:9" x14ac:dyDescent="0.25">
      <c r="C214" s="48"/>
      <c r="D214" s="48"/>
      <c r="E214" s="48"/>
      <c r="F214" s="48"/>
      <c r="G214" s="48"/>
      <c r="H214" s="48"/>
      <c r="I214" s="48"/>
    </row>
    <row r="215" spans="3:9" x14ac:dyDescent="0.25">
      <c r="C215" s="48"/>
      <c r="D215" s="48"/>
      <c r="E215" s="48"/>
      <c r="F215" s="48"/>
      <c r="G215" s="48"/>
      <c r="H215" s="48"/>
      <c r="I215" s="48"/>
    </row>
    <row r="216" spans="3:9" x14ac:dyDescent="0.25">
      <c r="C216" s="48"/>
      <c r="D216" s="48"/>
      <c r="E216" s="48"/>
      <c r="F216" s="48"/>
      <c r="G216" s="48"/>
      <c r="H216" s="48"/>
      <c r="I216" s="48"/>
    </row>
    <row r="217" spans="3:9" x14ac:dyDescent="0.25">
      <c r="C217" s="48"/>
      <c r="D217" s="48"/>
      <c r="E217" s="48"/>
      <c r="F217" s="48"/>
      <c r="G217" s="48"/>
      <c r="H217" s="48"/>
      <c r="I217" s="48"/>
    </row>
    <row r="218" spans="3:9" x14ac:dyDescent="0.25">
      <c r="C218" s="48"/>
      <c r="D218" s="48"/>
      <c r="E218" s="48"/>
      <c r="F218" s="48"/>
      <c r="G218" s="48"/>
      <c r="H218" s="48"/>
      <c r="I218" s="48"/>
    </row>
    <row r="219" spans="3:9" x14ac:dyDescent="0.25">
      <c r="C219" s="48"/>
      <c r="D219" s="48"/>
      <c r="E219" s="48"/>
      <c r="F219" s="48"/>
      <c r="G219" s="48"/>
      <c r="H219" s="48"/>
      <c r="I219" s="48"/>
    </row>
    <row r="220" spans="3:9" x14ac:dyDescent="0.25">
      <c r="C220" s="48"/>
      <c r="D220" s="48"/>
      <c r="E220" s="48"/>
      <c r="F220" s="48"/>
      <c r="G220" s="48"/>
      <c r="H220" s="48"/>
      <c r="I220" s="48"/>
    </row>
    <row r="221" spans="3:9" x14ac:dyDescent="0.25">
      <c r="D221" s="48"/>
      <c r="E221" s="48"/>
      <c r="F221" s="48"/>
      <c r="G221" s="48"/>
      <c r="H221" s="48"/>
    </row>
    <row r="222" spans="3:9" x14ac:dyDescent="0.25">
      <c r="D222" s="48"/>
      <c r="E222" s="48"/>
      <c r="F222" s="48"/>
      <c r="G222" s="48"/>
      <c r="H222" s="48"/>
    </row>
    <row r="223" spans="3:9" x14ac:dyDescent="0.25">
      <c r="D223" s="48"/>
      <c r="E223" s="48"/>
      <c r="F223" s="48"/>
      <c r="G223" s="48"/>
      <c r="H223" s="48"/>
    </row>
    <row r="224" spans="3:9" x14ac:dyDescent="0.25">
      <c r="D224" s="48"/>
      <c r="E224" s="48"/>
      <c r="F224" s="48"/>
      <c r="G224" s="48"/>
      <c r="H224" s="48"/>
    </row>
    <row r="225" spans="4:8" x14ac:dyDescent="0.25">
      <c r="D225" s="48"/>
      <c r="E225" s="48"/>
      <c r="F225" s="48"/>
      <c r="G225" s="48"/>
      <c r="H225" s="48"/>
    </row>
    <row r="226" spans="4:8" x14ac:dyDescent="0.25">
      <c r="D226" s="48"/>
      <c r="E226" s="48"/>
      <c r="F226" s="48"/>
      <c r="G226" s="48"/>
      <c r="H226" s="48"/>
    </row>
    <row r="227" spans="4:8" x14ac:dyDescent="0.25">
      <c r="D227" s="48"/>
      <c r="E227" s="48"/>
      <c r="F227" s="48"/>
      <c r="G227" s="48"/>
      <c r="H227" s="48"/>
    </row>
  </sheetData>
  <sheetProtection insertRows="0" deleteRows="0" autoFilter="0"/>
  <mergeCells count="62">
    <mergeCell ref="D28:E28"/>
    <mergeCell ref="D27:E27"/>
    <mergeCell ref="F27:G27"/>
    <mergeCell ref="G102:H102"/>
    <mergeCell ref="C16:I16"/>
    <mergeCell ref="D19:E19"/>
    <mergeCell ref="G19:H19"/>
    <mergeCell ref="G28:H28"/>
    <mergeCell ref="C17:D17"/>
    <mergeCell ref="G38:H38"/>
    <mergeCell ref="G47:H47"/>
    <mergeCell ref="E17:F17"/>
    <mergeCell ref="H17:I17"/>
    <mergeCell ref="D37:E37"/>
    <mergeCell ref="F37:G37"/>
    <mergeCell ref="D38:E38"/>
    <mergeCell ref="D36:E36"/>
    <mergeCell ref="F36:G36"/>
    <mergeCell ref="D55:E55"/>
    <mergeCell ref="F55:G55"/>
    <mergeCell ref="D56:E56"/>
    <mergeCell ref="G56:H56"/>
    <mergeCell ref="D46:E46"/>
    <mergeCell ref="F46:G46"/>
    <mergeCell ref="D47:E47"/>
    <mergeCell ref="D73:E73"/>
    <mergeCell ref="F73:G73"/>
    <mergeCell ref="D74:E74"/>
    <mergeCell ref="G74:H74"/>
    <mergeCell ref="D64:E64"/>
    <mergeCell ref="F64:G64"/>
    <mergeCell ref="D65:E65"/>
    <mergeCell ref="G65:H65"/>
    <mergeCell ref="D82:E82"/>
    <mergeCell ref="F82:G82"/>
    <mergeCell ref="D83:E83"/>
    <mergeCell ref="F83:G83"/>
    <mergeCell ref="D84:E84"/>
    <mergeCell ref="G84:H84"/>
    <mergeCell ref="D101:E101"/>
    <mergeCell ref="F101:G101"/>
    <mergeCell ref="D102:E102"/>
    <mergeCell ref="D92:E92"/>
    <mergeCell ref="F92:G92"/>
    <mergeCell ref="D93:E93"/>
    <mergeCell ref="G93:H93"/>
    <mergeCell ref="G111:H111"/>
    <mergeCell ref="G120:H120"/>
    <mergeCell ref="D129:E129"/>
    <mergeCell ref="G129:H129"/>
    <mergeCell ref="D110:E110"/>
    <mergeCell ref="F110:G110"/>
    <mergeCell ref="D111:E111"/>
    <mergeCell ref="D119:E119"/>
    <mergeCell ref="F119:G119"/>
    <mergeCell ref="D120:E120"/>
    <mergeCell ref="D156:E156"/>
    <mergeCell ref="G156:H156"/>
    <mergeCell ref="D138:E138"/>
    <mergeCell ref="G138:H138"/>
    <mergeCell ref="D147:E147"/>
    <mergeCell ref="G147:H147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'TABLA DINAMICA'!$B:$B</xm:f>
          </x14:formula1>
          <xm:sqref>D19:E19 D156:E156 G19:H19 D28:E28 G28:H28 D38:E38 G38:H38 D47:E47 G47:H47 D56:E56 G56:H56 D65:E65 G65:H65 D74:E74 G74:H74 D84:E84 G84:H84 D93:E93 G93:H93 D102:E102 G102:H102 D111:E111 G111:H111 D120:E120 G120:H120 D129:E129 G129:H129 D138:E138 G138:H138 D147:E147 G147:H147 G156:H156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rgb="FF82302E"/>
  </sheetPr>
  <dimension ref="A1:K47"/>
  <sheetViews>
    <sheetView zoomScale="70" zoomScaleNormal="70" workbookViewId="0">
      <selection activeCell="D13" sqref="D13"/>
    </sheetView>
  </sheetViews>
  <sheetFormatPr baseColWidth="10" defaultRowHeight="15" x14ac:dyDescent="0.25"/>
  <cols>
    <col min="1" max="1" width="30.7109375" style="74" customWidth="1"/>
    <col min="2" max="2" width="11.42578125" style="6"/>
    <col min="3" max="3" width="11.42578125" style="75"/>
    <col min="4" max="5" width="38" style="155" customWidth="1"/>
    <col min="6" max="6" width="29.7109375" style="6" customWidth="1"/>
    <col min="7" max="7" width="27.140625" style="6" customWidth="1"/>
    <col min="8" max="8" width="31.7109375" style="6" bestFit="1" customWidth="1"/>
    <col min="9" max="9" width="30.28515625" style="6" bestFit="1" customWidth="1"/>
    <col min="10" max="10" width="31.140625" style="6" customWidth="1"/>
    <col min="11" max="11" width="33" style="6" customWidth="1"/>
    <col min="12" max="16384" width="11.42578125" style="6"/>
  </cols>
  <sheetData>
    <row r="1" spans="3:11" x14ac:dyDescent="0.25">
      <c r="F1" s="6">
        <v>0</v>
      </c>
    </row>
    <row r="2" spans="3:11" x14ac:dyDescent="0.25">
      <c r="H2" s="156">
        <v>162460000</v>
      </c>
      <c r="I2" s="156">
        <v>162460000</v>
      </c>
    </row>
    <row r="14" spans="3:11" x14ac:dyDescent="0.25">
      <c r="C14" s="75" t="str">
        <f>IFERROR(VLOOKUP(B14,'CATALOGO DE CUENTAS GENERAL'!$D$16:D1116,2,FALSE),"")</f>
        <v/>
      </c>
    </row>
    <row r="15" spans="3:11" ht="27.75" x14ac:dyDescent="0.45">
      <c r="C15" s="224" t="str">
        <f>'ESQUEMA DE MAYOR'!C16:I16</f>
        <v xml:space="preserve">la flor del maiz </v>
      </c>
      <c r="D15" s="224"/>
      <c r="E15" s="224"/>
      <c r="F15" s="224"/>
      <c r="G15" s="224"/>
      <c r="H15" s="224"/>
      <c r="I15" s="224"/>
      <c r="J15" s="224"/>
      <c r="K15" s="224"/>
    </row>
    <row r="16" spans="3:11" ht="21.75" x14ac:dyDescent="0.35">
      <c r="C16" s="235" t="s">
        <v>87</v>
      </c>
      <c r="D16" s="236"/>
      <c r="E16" s="162">
        <v>15</v>
      </c>
      <c r="F16" s="244" t="s">
        <v>67</v>
      </c>
      <c r="G16" s="245"/>
      <c r="H16" s="246"/>
      <c r="I16" s="161" t="s">
        <v>67</v>
      </c>
      <c r="J16" s="237"/>
      <c r="K16" s="238"/>
    </row>
    <row r="17" spans="3:11" x14ac:dyDescent="0.25">
      <c r="C17" s="239"/>
      <c r="D17" s="240"/>
      <c r="E17" s="240"/>
      <c r="F17" s="240"/>
      <c r="G17" s="240"/>
      <c r="H17" s="240"/>
      <c r="I17" s="240"/>
      <c r="J17" s="240"/>
      <c r="K17" s="241"/>
    </row>
    <row r="18" spans="3:11" x14ac:dyDescent="0.25">
      <c r="C18" s="228" t="s">
        <v>799</v>
      </c>
      <c r="D18" s="229" t="s">
        <v>6</v>
      </c>
      <c r="E18" s="229" t="s">
        <v>75</v>
      </c>
      <c r="F18" s="231" t="s">
        <v>837</v>
      </c>
      <c r="G18" s="231"/>
      <c r="H18" s="232" t="s">
        <v>838</v>
      </c>
      <c r="I18" s="232"/>
      <c r="J18" s="233" t="s">
        <v>9</v>
      </c>
      <c r="K18" s="234"/>
    </row>
    <row r="19" spans="3:11" x14ac:dyDescent="0.25">
      <c r="C19" s="228"/>
      <c r="D19" s="230"/>
      <c r="E19" s="230"/>
      <c r="F19" s="163" t="s">
        <v>0</v>
      </c>
      <c r="G19" s="163" t="s">
        <v>1</v>
      </c>
      <c r="H19" s="163" t="s">
        <v>0</v>
      </c>
      <c r="I19" s="163" t="s">
        <v>1</v>
      </c>
      <c r="J19" s="164" t="s">
        <v>0</v>
      </c>
      <c r="K19" s="163" t="s">
        <v>1</v>
      </c>
    </row>
    <row r="20" spans="3:11" x14ac:dyDescent="0.25">
      <c r="C20" s="157">
        <v>100.01</v>
      </c>
      <c r="D20" s="157" t="s">
        <v>91</v>
      </c>
      <c r="E20" s="157" t="s">
        <v>73</v>
      </c>
      <c r="F20" s="158"/>
      <c r="G20" s="158"/>
      <c r="H20" s="55"/>
      <c r="I20" s="158"/>
      <c r="J20" s="159">
        <f>IFERROR(IF(OR(C20&lt;200,C20&gt;500),(F20+H20-I20),"0"),"0")</f>
        <v>0</v>
      </c>
      <c r="K20" s="159" t="str">
        <f>IFERROR(IF(AND(C20&gt;=200,C20&lt;=499),(G20+I20-H20),"0"),"0")</f>
        <v>0</v>
      </c>
    </row>
    <row r="21" spans="3:11" x14ac:dyDescent="0.25">
      <c r="C21" s="157">
        <v>102</v>
      </c>
      <c r="D21" s="157" t="s">
        <v>94</v>
      </c>
      <c r="E21" s="157" t="s">
        <v>73</v>
      </c>
      <c r="F21" s="158">
        <v>100000</v>
      </c>
      <c r="G21" s="158"/>
      <c r="H21" s="55">
        <v>10000</v>
      </c>
      <c r="I21" s="158">
        <v>145000</v>
      </c>
      <c r="J21" s="159">
        <f t="shared" ref="J21:J43" si="0">IFERROR(IF(OR(C21&lt;200,C21&gt;500),(F21+H21-I21),"0"),"0")</f>
        <v>-35000</v>
      </c>
      <c r="K21" s="159" t="str">
        <f t="shared" ref="K21:K43" si="1">IFERROR(IF(AND(C21&gt;=200,C21&lt;=499),(G21+I21-H21),"0"),"0")</f>
        <v>0</v>
      </c>
    </row>
    <row r="22" spans="3:11" x14ac:dyDescent="0.25">
      <c r="C22" s="157">
        <v>300</v>
      </c>
      <c r="D22" s="157" t="s">
        <v>4</v>
      </c>
      <c r="E22" s="157" t="s">
        <v>76</v>
      </c>
      <c r="F22" s="158"/>
      <c r="G22" s="158">
        <v>100000</v>
      </c>
      <c r="H22" s="55"/>
      <c r="I22" s="158"/>
      <c r="J22" s="159" t="str">
        <f t="shared" si="0"/>
        <v>0</v>
      </c>
      <c r="K22" s="159">
        <f t="shared" si="1"/>
        <v>100000</v>
      </c>
    </row>
    <row r="23" spans="3:11" x14ac:dyDescent="0.25">
      <c r="C23" s="157">
        <v>115</v>
      </c>
      <c r="D23" s="157" t="str">
        <f>IFERROR(VLOOKUP(C23,'CATALOGO DE CUENTAS GENERAL'!$D$16:E1125,2,FALSE),"")</f>
        <v>Inventario</v>
      </c>
      <c r="E23" s="157"/>
      <c r="F23" s="158"/>
      <c r="G23" s="158"/>
      <c r="H23" s="55">
        <v>80000</v>
      </c>
      <c r="I23" s="160">
        <v>150000</v>
      </c>
      <c r="J23" s="159">
        <f t="shared" si="0"/>
        <v>-70000</v>
      </c>
      <c r="K23" s="159" t="str">
        <f t="shared" si="1"/>
        <v>0</v>
      </c>
    </row>
    <row r="24" spans="3:11" x14ac:dyDescent="0.25">
      <c r="C24" s="157">
        <v>202</v>
      </c>
      <c r="D24" s="157" t="str">
        <f>IFERROR(VLOOKUP(C24,'CATALOGO DE CUENTAS GENERAL'!$D$16:E1126,2,FALSE),"")</f>
        <v>Cuentas por pagar a corto plazo</v>
      </c>
      <c r="E24" s="157"/>
      <c r="F24" s="158"/>
      <c r="G24" s="158"/>
      <c r="H24" s="55"/>
      <c r="I24" s="158">
        <v>10000</v>
      </c>
      <c r="J24" s="159" t="str">
        <f t="shared" si="0"/>
        <v>0</v>
      </c>
      <c r="K24" s="159">
        <f t="shared" si="1"/>
        <v>10000</v>
      </c>
    </row>
    <row r="25" spans="3:11" x14ac:dyDescent="0.25">
      <c r="C25" s="157">
        <v>156</v>
      </c>
      <c r="D25" s="157" t="str">
        <f>IFERROR(VLOOKUP(C25,'CATALOGO DE CUENTAS GENERAL'!$D$16:E1127,2,FALSE),"")</f>
        <v>Equipo de cómputo</v>
      </c>
      <c r="E25" s="157"/>
      <c r="F25" s="158"/>
      <c r="G25" s="158"/>
      <c r="H25" s="55">
        <v>15000</v>
      </c>
      <c r="I25" s="158"/>
      <c r="J25" s="159">
        <f t="shared" si="0"/>
        <v>15000</v>
      </c>
      <c r="K25" s="159" t="str">
        <f t="shared" si="1"/>
        <v>0</v>
      </c>
    </row>
    <row r="26" spans="3:11" x14ac:dyDescent="0.25">
      <c r="C26" s="157">
        <v>201</v>
      </c>
      <c r="D26" s="157" t="str">
        <f>IFERROR(VLOOKUP(C26,'CATALOGO DE CUENTAS GENERAL'!$D$16:E1128,2,FALSE),"")</f>
        <v>Proveedores</v>
      </c>
      <c r="E26" s="157"/>
      <c r="F26" s="158"/>
      <c r="G26" s="158"/>
      <c r="H26" s="55">
        <v>50000</v>
      </c>
      <c r="I26" s="158"/>
      <c r="J26" s="159" t="str">
        <f t="shared" si="0"/>
        <v>0</v>
      </c>
      <c r="K26" s="159">
        <f t="shared" si="1"/>
        <v>-50000</v>
      </c>
    </row>
    <row r="27" spans="3:11" x14ac:dyDescent="0.25">
      <c r="C27" s="157">
        <v>105</v>
      </c>
      <c r="D27" s="157" t="str">
        <f>IFERROR(VLOOKUP(C27,'CATALOGO DE CUENTAS GENERAL'!$D$16:E1129,2,FALSE),"")</f>
        <v>Clientes</v>
      </c>
      <c r="E27" s="157"/>
      <c r="F27" s="158"/>
      <c r="G27" s="158"/>
      <c r="H27" s="55">
        <v>25000</v>
      </c>
      <c r="I27" s="158"/>
      <c r="J27" s="159">
        <f t="shared" si="0"/>
        <v>25000</v>
      </c>
      <c r="K27" s="159" t="str">
        <f t="shared" si="1"/>
        <v>0</v>
      </c>
    </row>
    <row r="28" spans="3:11" x14ac:dyDescent="0.25">
      <c r="C28" s="157">
        <v>401</v>
      </c>
      <c r="D28" s="157" t="str">
        <f>IFERROR(VLOOKUP(C28,'CATALOGO DE CUENTAS GENERAL'!$D$16:E1130,2,FALSE),"")</f>
        <v>Ingresos</v>
      </c>
      <c r="E28" s="157"/>
      <c r="F28" s="158"/>
      <c r="G28" s="158"/>
      <c r="H28" s="55"/>
      <c r="I28" s="158">
        <v>25000</v>
      </c>
      <c r="J28" s="159" t="str">
        <f t="shared" si="0"/>
        <v>0</v>
      </c>
      <c r="K28" s="159">
        <f t="shared" si="1"/>
        <v>25000</v>
      </c>
    </row>
    <row r="29" spans="3:11" x14ac:dyDescent="0.25">
      <c r="C29" s="157">
        <v>501</v>
      </c>
      <c r="D29" s="157" t="str">
        <f>IFERROR(VLOOKUP(C29,'CATALOGO DE CUENTAS GENERAL'!$D$16:E1131,2,FALSE),"")</f>
        <v>Costo de venta y/o servicio</v>
      </c>
      <c r="E29" s="157"/>
      <c r="F29" s="158"/>
      <c r="G29" s="158"/>
      <c r="H29" s="55">
        <v>100000</v>
      </c>
      <c r="I29" s="158"/>
      <c r="J29" s="159">
        <f t="shared" si="0"/>
        <v>100000</v>
      </c>
      <c r="K29" s="159" t="str">
        <f t="shared" si="1"/>
        <v>0</v>
      </c>
    </row>
    <row r="30" spans="3:11" ht="45" x14ac:dyDescent="0.25">
      <c r="C30" s="157">
        <v>154</v>
      </c>
      <c r="D30" s="157" t="str">
        <f>IFERROR(VLOOKUP(C30,'CATALOGO DE CUENTAS GENERAL'!$D$16:E1132,2,FALSE),"")</f>
        <v>Automóviles, autobuses, camiones de carga, tractocamiones, montacargas y remolques</v>
      </c>
      <c r="E30" s="157"/>
      <c r="F30" s="158"/>
      <c r="G30" s="158"/>
      <c r="H30" s="55">
        <v>50000</v>
      </c>
      <c r="I30" s="160"/>
      <c r="J30" s="159">
        <f t="shared" si="0"/>
        <v>50000</v>
      </c>
      <c r="K30" s="159" t="str">
        <f t="shared" si="1"/>
        <v>0</v>
      </c>
    </row>
    <row r="31" spans="3:11" x14ac:dyDescent="0.25">
      <c r="C31" s="157"/>
      <c r="D31" s="157" t="str">
        <f>IFERROR(VLOOKUP(C31,'CATALOGO DE CUENTAS GENERAL'!$D$16:E1133,2,FALSE),"")</f>
        <v/>
      </c>
      <c r="E31" s="157"/>
      <c r="F31" s="158"/>
      <c r="G31" s="158"/>
      <c r="H31" s="55"/>
      <c r="I31" s="158"/>
      <c r="J31" s="159">
        <f t="shared" si="0"/>
        <v>0</v>
      </c>
      <c r="K31" s="159" t="str">
        <f t="shared" si="1"/>
        <v>0</v>
      </c>
    </row>
    <row r="32" spans="3:11" x14ac:dyDescent="0.25">
      <c r="C32" s="157"/>
      <c r="D32" s="157" t="str">
        <f>IFERROR(VLOOKUP(C32,'CATALOGO DE CUENTAS GENERAL'!$D$16:E1134,2,FALSE),"")</f>
        <v/>
      </c>
      <c r="E32" s="157"/>
      <c r="F32" s="158"/>
      <c r="G32" s="158"/>
      <c r="H32" s="55"/>
      <c r="I32" s="158"/>
      <c r="J32" s="159">
        <f t="shared" si="0"/>
        <v>0</v>
      </c>
      <c r="K32" s="159" t="str">
        <f t="shared" si="1"/>
        <v>0</v>
      </c>
    </row>
    <row r="33" spans="3:11" x14ac:dyDescent="0.25">
      <c r="C33" s="157"/>
      <c r="D33" s="157" t="str">
        <f>IFERROR(VLOOKUP(C33,'CATALOGO DE CUENTAS GENERAL'!$D$16:E1135,2,FALSE),"")</f>
        <v/>
      </c>
      <c r="E33" s="157"/>
      <c r="F33" s="158"/>
      <c r="G33" s="158"/>
      <c r="H33" s="55"/>
      <c r="I33" s="158"/>
      <c r="J33" s="159">
        <f t="shared" si="0"/>
        <v>0</v>
      </c>
      <c r="K33" s="159" t="str">
        <f t="shared" si="1"/>
        <v>0</v>
      </c>
    </row>
    <row r="34" spans="3:11" ht="15.75" customHeight="1" x14ac:dyDescent="0.25">
      <c r="C34" s="157"/>
      <c r="D34" s="157" t="str">
        <f>IFERROR(VLOOKUP(C34,'CATALOGO DE CUENTAS GENERAL'!$D$16:E1136,2,FALSE),"")</f>
        <v/>
      </c>
      <c r="E34" s="157"/>
      <c r="F34" s="158"/>
      <c r="G34" s="158"/>
      <c r="H34" s="55"/>
      <c r="I34" s="158"/>
      <c r="J34" s="159">
        <f t="shared" si="0"/>
        <v>0</v>
      </c>
      <c r="K34" s="159" t="str">
        <f t="shared" si="1"/>
        <v>0</v>
      </c>
    </row>
    <row r="35" spans="3:11" x14ac:dyDescent="0.25">
      <c r="C35" s="157"/>
      <c r="D35" s="157" t="str">
        <f>IFERROR(VLOOKUP(C35,'CATALOGO DE CUENTAS GENERAL'!$D$16:E1137,2,FALSE),"")</f>
        <v/>
      </c>
      <c r="E35" s="157"/>
      <c r="F35" s="158"/>
      <c r="G35" s="158"/>
      <c r="H35" s="55"/>
      <c r="I35" s="158"/>
      <c r="J35" s="159">
        <f t="shared" si="0"/>
        <v>0</v>
      </c>
      <c r="K35" s="159" t="str">
        <f t="shared" si="1"/>
        <v>0</v>
      </c>
    </row>
    <row r="36" spans="3:11" x14ac:dyDescent="0.25">
      <c r="C36" s="157"/>
      <c r="D36" s="157" t="str">
        <f>IFERROR(VLOOKUP(C36,'CATALOGO DE CUENTAS GENERAL'!$D$16:E1138,2,FALSE),"")</f>
        <v/>
      </c>
      <c r="E36" s="157"/>
      <c r="F36" s="158"/>
      <c r="G36" s="158"/>
      <c r="H36" s="55"/>
      <c r="I36" s="158"/>
      <c r="J36" s="159">
        <f t="shared" si="0"/>
        <v>0</v>
      </c>
      <c r="K36" s="159" t="str">
        <f t="shared" si="1"/>
        <v>0</v>
      </c>
    </row>
    <row r="37" spans="3:11" x14ac:dyDescent="0.25">
      <c r="C37" s="157"/>
      <c r="D37" s="157" t="str">
        <f>IFERROR(VLOOKUP(C37,'CATALOGO DE CUENTAS GENERAL'!$D$16:E1139,2,FALSE),"")</f>
        <v/>
      </c>
      <c r="E37" s="157"/>
      <c r="F37" s="158"/>
      <c r="G37" s="158"/>
      <c r="H37" s="55"/>
      <c r="I37" s="158"/>
      <c r="J37" s="159">
        <f t="shared" si="0"/>
        <v>0</v>
      </c>
      <c r="K37" s="159" t="str">
        <f t="shared" si="1"/>
        <v>0</v>
      </c>
    </row>
    <row r="38" spans="3:11" x14ac:dyDescent="0.25">
      <c r="C38" s="157"/>
      <c r="D38" s="157" t="str">
        <f>IFERROR(VLOOKUP(C38,'CATALOGO DE CUENTAS GENERAL'!$D$16:E1140,2,FALSE),"")</f>
        <v/>
      </c>
      <c r="E38" s="157"/>
      <c r="F38" s="158"/>
      <c r="G38" s="158"/>
      <c r="H38" s="55"/>
      <c r="I38" s="158"/>
      <c r="J38" s="159">
        <f t="shared" si="0"/>
        <v>0</v>
      </c>
      <c r="K38" s="159" t="str">
        <f t="shared" si="1"/>
        <v>0</v>
      </c>
    </row>
    <row r="39" spans="3:11" x14ac:dyDescent="0.25">
      <c r="C39" s="157"/>
      <c r="D39" s="157" t="str">
        <f>IFERROR(VLOOKUP(C39,'CATALOGO DE CUENTAS GENERAL'!$D$16:E1141,2,FALSE),"")</f>
        <v/>
      </c>
      <c r="E39" s="157"/>
      <c r="F39" s="158"/>
      <c r="G39" s="158"/>
      <c r="H39" s="55"/>
      <c r="I39" s="158"/>
      <c r="J39" s="159">
        <f t="shared" si="0"/>
        <v>0</v>
      </c>
      <c r="K39" s="159" t="str">
        <f t="shared" si="1"/>
        <v>0</v>
      </c>
    </row>
    <row r="40" spans="3:11" x14ac:dyDescent="0.25">
      <c r="C40" s="157"/>
      <c r="D40" s="157" t="str">
        <f>IFERROR(VLOOKUP(C40,'CATALOGO DE CUENTAS GENERAL'!$D$16:E1142,2,FALSE),"")</f>
        <v/>
      </c>
      <c r="E40" s="157"/>
      <c r="F40" s="158"/>
      <c r="G40" s="158"/>
      <c r="H40" s="55"/>
      <c r="I40" s="158"/>
      <c r="J40" s="159">
        <f t="shared" si="0"/>
        <v>0</v>
      </c>
      <c r="K40" s="159" t="str">
        <f t="shared" si="1"/>
        <v>0</v>
      </c>
    </row>
    <row r="41" spans="3:11" x14ac:dyDescent="0.25">
      <c r="C41" s="157"/>
      <c r="D41" s="157" t="str">
        <f>IFERROR(VLOOKUP(C41,'CATALOGO DE CUENTAS GENERAL'!$D$16:E1143,2,FALSE),"")</f>
        <v/>
      </c>
      <c r="E41" s="157"/>
      <c r="F41" s="158"/>
      <c r="G41" s="158"/>
      <c r="H41" s="55"/>
      <c r="I41" s="158"/>
      <c r="J41" s="159">
        <f t="shared" si="0"/>
        <v>0</v>
      </c>
      <c r="K41" s="159" t="str">
        <f t="shared" si="1"/>
        <v>0</v>
      </c>
    </row>
    <row r="42" spans="3:11" x14ac:dyDescent="0.25">
      <c r="C42" s="157"/>
      <c r="D42" s="157" t="str">
        <f>IFERROR(VLOOKUP(C42,'CATALOGO DE CUENTAS GENERAL'!$D$16:E1144,2,FALSE),"")</f>
        <v/>
      </c>
      <c r="E42" s="157"/>
      <c r="F42" s="158"/>
      <c r="G42" s="158"/>
      <c r="H42" s="55"/>
      <c r="I42" s="158"/>
      <c r="J42" s="159">
        <f t="shared" si="0"/>
        <v>0</v>
      </c>
      <c r="K42" s="159" t="str">
        <f t="shared" si="1"/>
        <v>0</v>
      </c>
    </row>
    <row r="43" spans="3:11" x14ac:dyDescent="0.25">
      <c r="C43" s="157"/>
      <c r="D43" s="157" t="str">
        <f>IFERROR(VLOOKUP(C43,'CATALOGO DE CUENTAS GENERAL'!$D$16:E1145,2,FALSE),"")</f>
        <v/>
      </c>
      <c r="E43" s="157"/>
      <c r="F43" s="158"/>
      <c r="G43" s="158"/>
      <c r="H43" s="55"/>
      <c r="I43" s="158"/>
      <c r="J43" s="159">
        <f t="shared" si="0"/>
        <v>0</v>
      </c>
      <c r="K43" s="159" t="str">
        <f t="shared" si="1"/>
        <v>0</v>
      </c>
    </row>
    <row r="45" spans="3:11" ht="15" customHeight="1" x14ac:dyDescent="0.25">
      <c r="D45" s="75"/>
      <c r="E45" s="75"/>
      <c r="F45" s="242">
        <f>SUM(F20:F43)</f>
        <v>100000</v>
      </c>
      <c r="G45" s="242">
        <f>SUM(G20:G43)</f>
        <v>100000</v>
      </c>
      <c r="H45" s="242">
        <f>SUM(H20:H43)</f>
        <v>330000</v>
      </c>
      <c r="I45" s="242">
        <f>SUM(I20:I38)</f>
        <v>330000</v>
      </c>
      <c r="J45" s="242">
        <f>SUM(J20:J38)</f>
        <v>85000</v>
      </c>
      <c r="K45" s="242">
        <f>SUM(K20:K38)</f>
        <v>85000</v>
      </c>
    </row>
    <row r="46" spans="3:11" ht="15" customHeight="1" x14ac:dyDescent="0.25">
      <c r="D46" s="75"/>
      <c r="E46" s="75"/>
      <c r="F46" s="243"/>
      <c r="G46" s="242"/>
      <c r="H46" s="243"/>
      <c r="I46" s="243"/>
      <c r="J46" s="243"/>
      <c r="K46" s="243"/>
    </row>
    <row r="47" spans="3:11" ht="15" customHeight="1" x14ac:dyDescent="0.25">
      <c r="D47" s="75"/>
      <c r="E47" s="75"/>
      <c r="F47" s="243"/>
      <c r="G47" s="242"/>
      <c r="H47" s="243"/>
      <c r="I47" s="243"/>
      <c r="J47" s="243"/>
      <c r="K47" s="243"/>
    </row>
  </sheetData>
  <autoFilter ref="C18:K39" xr:uid="{00000000-0009-0000-0000-000007000000}">
    <filterColumn colId="3" showButton="0"/>
    <filterColumn colId="5" showButton="0"/>
    <filterColumn colId="7" showButton="0"/>
  </autoFilter>
  <mergeCells count="17">
    <mergeCell ref="H45:H47"/>
    <mergeCell ref="F16:H16"/>
    <mergeCell ref="I45:I47"/>
    <mergeCell ref="J45:J47"/>
    <mergeCell ref="K45:K47"/>
    <mergeCell ref="F45:F47"/>
    <mergeCell ref="G45:G47"/>
    <mergeCell ref="C15:K15"/>
    <mergeCell ref="C18:C19"/>
    <mergeCell ref="D18:D19"/>
    <mergeCell ref="F18:G18"/>
    <mergeCell ref="H18:I18"/>
    <mergeCell ref="J18:K18"/>
    <mergeCell ref="C16:D16"/>
    <mergeCell ref="J16:K16"/>
    <mergeCell ref="E18:E19"/>
    <mergeCell ref="C17:K17"/>
  </mergeCells>
  <conditionalFormatting sqref="C20:E43">
    <cfRule type="cellIs" dxfId="3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'CATALOGO DE CUENTAS GENERAL'!$D$16:$D$1122</xm:f>
          </x14:formula1>
          <xm:sqref>C20:C44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82302E"/>
  </sheetPr>
  <dimension ref="A14:J44"/>
  <sheetViews>
    <sheetView zoomScale="70" zoomScaleNormal="70" workbookViewId="0">
      <selection activeCell="U24" sqref="U24"/>
    </sheetView>
  </sheetViews>
  <sheetFormatPr baseColWidth="10" defaultRowHeight="15" x14ac:dyDescent="0.25"/>
  <cols>
    <col min="1" max="1" width="30.7109375" style="74" customWidth="1"/>
    <col min="2" max="2" width="4.140625" style="6" customWidth="1"/>
    <col min="3" max="3" width="15.5703125" style="6" customWidth="1"/>
    <col min="4" max="4" width="22" style="6" customWidth="1"/>
    <col min="5" max="6" width="26.42578125" style="6" customWidth="1"/>
    <col min="7" max="8" width="30.7109375" style="6" bestFit="1" customWidth="1"/>
    <col min="9" max="9" width="20.28515625" style="6" customWidth="1"/>
    <col min="10" max="12" width="11.42578125" style="6"/>
    <col min="13" max="13" width="11.42578125" style="6" customWidth="1"/>
    <col min="14" max="16384" width="11.42578125" style="6"/>
  </cols>
  <sheetData>
    <row r="14" spans="2:10" x14ac:dyDescent="0.25">
      <c r="C14" s="58"/>
      <c r="D14" s="58"/>
      <c r="E14" s="58"/>
      <c r="F14" s="58"/>
      <c r="G14" s="58"/>
      <c r="H14" s="58"/>
      <c r="I14" s="58"/>
    </row>
    <row r="15" spans="2:10" x14ac:dyDescent="0.25">
      <c r="B15" s="58"/>
      <c r="C15" s="211" t="str">
        <f>'RAYADO DIARIO'!C13:L13</f>
        <v xml:space="preserve">la flor del maiz </v>
      </c>
      <c r="D15" s="211"/>
      <c r="E15" s="211"/>
      <c r="F15" s="211"/>
      <c r="G15" s="211"/>
      <c r="H15" s="211"/>
      <c r="I15" s="211"/>
      <c r="J15" s="58"/>
    </row>
    <row r="16" spans="2:10" ht="24.95" customHeight="1" x14ac:dyDescent="0.25">
      <c r="B16" s="58"/>
      <c r="C16" s="211"/>
      <c r="D16" s="211"/>
      <c r="E16" s="211"/>
      <c r="F16" s="211"/>
      <c r="G16" s="211"/>
      <c r="H16" s="211"/>
      <c r="I16" s="211"/>
      <c r="J16" s="58"/>
    </row>
    <row r="17" spans="2:10" ht="24.75" customHeight="1" x14ac:dyDescent="0.25">
      <c r="B17" s="58"/>
      <c r="C17" s="219" t="s">
        <v>11</v>
      </c>
      <c r="D17" s="219"/>
      <c r="E17" s="253">
        <v>45594</v>
      </c>
      <c r="F17" s="253"/>
      <c r="G17" s="180" t="s">
        <v>67</v>
      </c>
      <c r="H17" s="253">
        <v>45594</v>
      </c>
      <c r="I17" s="253"/>
      <c r="J17" s="58"/>
    </row>
    <row r="18" spans="2:10" ht="26.25" customHeight="1" x14ac:dyDescent="0.25">
      <c r="B18" s="58"/>
      <c r="C18" s="249" t="s">
        <v>10</v>
      </c>
      <c r="D18" s="249"/>
      <c r="E18" s="249"/>
      <c r="F18" s="249"/>
      <c r="G18" s="249"/>
      <c r="H18" s="181" t="s">
        <v>68</v>
      </c>
      <c r="I18" s="182">
        <f>C20</f>
        <v>0</v>
      </c>
      <c r="J18" s="58"/>
    </row>
    <row r="19" spans="2:10" ht="15.75" customHeight="1" x14ac:dyDescent="0.25">
      <c r="B19" s="58"/>
      <c r="C19" s="183" t="s">
        <v>65</v>
      </c>
      <c r="D19" s="184" t="s">
        <v>5</v>
      </c>
      <c r="E19" s="185" t="s">
        <v>6</v>
      </c>
      <c r="F19" s="163" t="s">
        <v>75</v>
      </c>
      <c r="G19" s="163" t="s">
        <v>8</v>
      </c>
      <c r="H19" s="163" t="s">
        <v>1</v>
      </c>
      <c r="I19" s="163" t="s">
        <v>69</v>
      </c>
      <c r="J19" s="58"/>
    </row>
    <row r="20" spans="2:10" ht="24.75" x14ac:dyDescent="0.4">
      <c r="B20" s="58"/>
      <c r="C20" s="166"/>
      <c r="D20" s="167"/>
      <c r="E20" s="168"/>
      <c r="F20" s="168"/>
      <c r="G20" s="169"/>
      <c r="H20" s="169"/>
      <c r="I20" s="170"/>
      <c r="J20" s="58"/>
    </row>
    <row r="21" spans="2:10" ht="24.75" x14ac:dyDescent="0.4">
      <c r="B21" s="58"/>
      <c r="C21" s="171"/>
      <c r="D21" s="172"/>
      <c r="E21" s="173"/>
      <c r="F21" s="173"/>
      <c r="G21" s="170"/>
      <c r="H21" s="170"/>
      <c r="I21" s="170"/>
      <c r="J21" s="58"/>
    </row>
    <row r="22" spans="2:10" ht="24.75" x14ac:dyDescent="0.4">
      <c r="B22" s="58"/>
      <c r="C22" s="171"/>
      <c r="D22" s="172"/>
      <c r="E22" s="173"/>
      <c r="F22" s="173"/>
      <c r="G22" s="170"/>
      <c r="H22" s="170"/>
      <c r="I22" s="170"/>
      <c r="J22" s="58"/>
    </row>
    <row r="23" spans="2:10" ht="24.75" x14ac:dyDescent="0.4">
      <c r="B23" s="58"/>
      <c r="C23" s="171"/>
      <c r="D23" s="172"/>
      <c r="E23" s="173"/>
      <c r="F23" s="173"/>
      <c r="G23" s="170"/>
      <c r="H23" s="170"/>
      <c r="I23" s="170"/>
      <c r="J23" s="58"/>
    </row>
    <row r="24" spans="2:10" ht="24.75" x14ac:dyDescent="0.4">
      <c r="B24" s="58"/>
      <c r="C24" s="171"/>
      <c r="D24" s="172"/>
      <c r="E24" s="173"/>
      <c r="F24" s="173"/>
      <c r="G24" s="170"/>
      <c r="H24" s="170"/>
      <c r="I24" s="170"/>
      <c r="J24" s="58"/>
    </row>
    <row r="25" spans="2:10" ht="24.75" x14ac:dyDescent="0.4">
      <c r="B25" s="58"/>
      <c r="C25" s="171"/>
      <c r="D25" s="172"/>
      <c r="E25" s="173"/>
      <c r="F25" s="173"/>
      <c r="G25" s="170"/>
      <c r="H25" s="170"/>
      <c r="I25" s="170"/>
      <c r="J25" s="58"/>
    </row>
    <row r="26" spans="2:10" ht="24.75" x14ac:dyDescent="0.4">
      <c r="B26" s="58"/>
      <c r="C26" s="171"/>
      <c r="D26" s="172"/>
      <c r="E26" s="173"/>
      <c r="F26" s="173"/>
      <c r="G26" s="170"/>
      <c r="H26" s="170"/>
      <c r="I26" s="170"/>
      <c r="J26" s="58"/>
    </row>
    <row r="27" spans="2:10" ht="24.75" x14ac:dyDescent="0.4">
      <c r="B27" s="58"/>
      <c r="C27" s="171"/>
      <c r="D27" s="172"/>
      <c r="E27" s="173"/>
      <c r="F27" s="173"/>
      <c r="G27" s="170"/>
      <c r="H27" s="170"/>
      <c r="I27" s="170"/>
      <c r="J27" s="58"/>
    </row>
    <row r="28" spans="2:10" ht="24.75" x14ac:dyDescent="0.4">
      <c r="B28" s="58"/>
      <c r="C28" s="171"/>
      <c r="D28" s="172"/>
      <c r="E28" s="173"/>
      <c r="F28" s="173"/>
      <c r="G28" s="170"/>
      <c r="H28" s="170"/>
      <c r="I28" s="170"/>
      <c r="J28" s="58"/>
    </row>
    <row r="29" spans="2:10" ht="24.75" x14ac:dyDescent="0.4">
      <c r="B29" s="58"/>
      <c r="C29" s="171"/>
      <c r="D29" s="172"/>
      <c r="E29" s="173"/>
      <c r="F29" s="173"/>
      <c r="G29" s="170"/>
      <c r="H29" s="170"/>
      <c r="I29" s="170"/>
      <c r="J29" s="58"/>
    </row>
    <row r="30" spans="2:10" ht="24.75" x14ac:dyDescent="0.4">
      <c r="B30" s="58"/>
      <c r="C30" s="171"/>
      <c r="D30" s="172"/>
      <c r="E30" s="173"/>
      <c r="F30" s="173"/>
      <c r="G30" s="170"/>
      <c r="H30" s="170"/>
      <c r="I30" s="170"/>
      <c r="J30" s="58"/>
    </row>
    <row r="31" spans="2:10" ht="24.75" x14ac:dyDescent="0.4">
      <c r="B31" s="58"/>
      <c r="C31" s="171"/>
      <c r="D31" s="172"/>
      <c r="E31" s="173"/>
      <c r="F31" s="173"/>
      <c r="G31" s="170"/>
      <c r="H31" s="170"/>
      <c r="I31" s="170"/>
      <c r="J31" s="58"/>
    </row>
    <row r="32" spans="2:10" ht="24.75" x14ac:dyDescent="0.4">
      <c r="B32" s="58"/>
      <c r="C32" s="171"/>
      <c r="D32" s="172"/>
      <c r="E32" s="173"/>
      <c r="F32" s="173"/>
      <c r="G32" s="170"/>
      <c r="H32" s="170"/>
      <c r="I32" s="170"/>
      <c r="J32" s="58"/>
    </row>
    <row r="33" spans="1:10" ht="24.75" x14ac:dyDescent="0.4">
      <c r="B33" s="58"/>
      <c r="C33" s="171"/>
      <c r="D33" s="172"/>
      <c r="E33" s="173"/>
      <c r="F33" s="173"/>
      <c r="G33" s="170"/>
      <c r="H33" s="170"/>
      <c r="I33" s="170"/>
      <c r="J33" s="58"/>
    </row>
    <row r="34" spans="1:10" ht="24.75" x14ac:dyDescent="0.4">
      <c r="B34" s="58"/>
      <c r="C34" s="171"/>
      <c r="D34" s="172"/>
      <c r="E34" s="173"/>
      <c r="F34" s="173"/>
      <c r="G34" s="170"/>
      <c r="H34" s="170"/>
      <c r="I34" s="170"/>
      <c r="J34" s="58"/>
    </row>
    <row r="35" spans="1:10" ht="24.75" x14ac:dyDescent="0.4">
      <c r="B35" s="58"/>
      <c r="C35" s="171"/>
      <c r="D35" s="172"/>
      <c r="E35" s="173"/>
      <c r="F35" s="173"/>
      <c r="G35" s="170"/>
      <c r="H35" s="170"/>
      <c r="I35" s="170"/>
      <c r="J35" s="58"/>
    </row>
    <row r="36" spans="1:10" ht="24.75" x14ac:dyDescent="0.4">
      <c r="B36" s="58"/>
      <c r="C36" s="171"/>
      <c r="D36" s="172"/>
      <c r="E36" s="173"/>
      <c r="F36" s="173"/>
      <c r="G36" s="170"/>
      <c r="H36" s="170"/>
      <c r="I36" s="170"/>
      <c r="J36" s="58"/>
    </row>
    <row r="37" spans="1:10" ht="24.75" x14ac:dyDescent="0.4">
      <c r="B37" s="58"/>
      <c r="C37" s="171"/>
      <c r="D37" s="172"/>
      <c r="E37" s="173"/>
      <c r="F37" s="173"/>
      <c r="G37" s="170"/>
      <c r="H37" s="170"/>
      <c r="I37" s="170"/>
      <c r="J37" s="58"/>
    </row>
    <row r="38" spans="1:10" ht="24.75" x14ac:dyDescent="0.4">
      <c r="B38" s="58"/>
      <c r="C38" s="171"/>
      <c r="D38" s="172"/>
      <c r="E38" s="173"/>
      <c r="F38" s="173"/>
      <c r="G38" s="170"/>
      <c r="H38" s="170"/>
      <c r="I38" s="170"/>
      <c r="J38" s="58"/>
    </row>
    <row r="39" spans="1:10" ht="48" customHeight="1" x14ac:dyDescent="0.5">
      <c r="B39" s="58"/>
      <c r="C39" s="174"/>
      <c r="D39" s="175"/>
      <c r="E39" s="176"/>
      <c r="F39" s="176"/>
      <c r="G39" s="177">
        <f>SUM(G20:G37)</f>
        <v>0</v>
      </c>
      <c r="H39" s="177">
        <f>SUM(H20:H38)</f>
        <v>0</v>
      </c>
      <c r="I39" s="177"/>
      <c r="J39" s="58"/>
    </row>
    <row r="40" spans="1:10" ht="15.75" x14ac:dyDescent="0.25">
      <c r="C40" s="250"/>
      <c r="D40" s="250"/>
      <c r="E40" s="254"/>
      <c r="F40" s="255"/>
      <c r="G40" s="255"/>
      <c r="H40" s="255"/>
      <c r="I40" s="255"/>
    </row>
    <row r="41" spans="1:10" x14ac:dyDescent="0.25">
      <c r="C41" s="247"/>
      <c r="D41" s="248"/>
      <c r="E41" s="248"/>
      <c r="F41" s="248"/>
      <c r="G41" s="248"/>
      <c r="H41" s="248"/>
      <c r="I41" s="248"/>
    </row>
    <row r="42" spans="1:10" ht="15" customHeight="1" x14ac:dyDescent="0.25">
      <c r="C42" s="251" t="s">
        <v>801</v>
      </c>
      <c r="D42" s="256" t="s">
        <v>802</v>
      </c>
      <c r="E42" s="257"/>
      <c r="F42" s="258"/>
      <c r="G42" s="256" t="s">
        <v>803</v>
      </c>
      <c r="H42" s="257"/>
      <c r="I42" s="257"/>
    </row>
    <row r="43" spans="1:10" s="58" customFormat="1" ht="35.25" customHeight="1" x14ac:dyDescent="0.25">
      <c r="A43" s="179"/>
      <c r="B43" s="6"/>
      <c r="C43" s="252"/>
      <c r="D43" s="259" t="s">
        <v>823</v>
      </c>
      <c r="E43" s="260"/>
      <c r="F43" s="261"/>
      <c r="G43" s="259" t="s">
        <v>824</v>
      </c>
      <c r="H43" s="260"/>
      <c r="I43" s="261"/>
    </row>
    <row r="44" spans="1:10" ht="15" customHeight="1" x14ac:dyDescent="0.25">
      <c r="B44" s="58"/>
      <c r="C44" s="178"/>
      <c r="D44" s="58"/>
    </row>
  </sheetData>
  <sheetProtection sort="0" autoFilter="0"/>
  <mergeCells count="14">
    <mergeCell ref="C41:I41"/>
    <mergeCell ref="C18:E18"/>
    <mergeCell ref="C40:D40"/>
    <mergeCell ref="C42:C43"/>
    <mergeCell ref="C15:I16"/>
    <mergeCell ref="H17:I17"/>
    <mergeCell ref="C17:D17"/>
    <mergeCell ref="E40:I40"/>
    <mergeCell ref="E17:F17"/>
    <mergeCell ref="F18:G18"/>
    <mergeCell ref="D42:F42"/>
    <mergeCell ref="D43:F43"/>
    <mergeCell ref="G42:I42"/>
    <mergeCell ref="G43:I43"/>
  </mergeCells>
  <conditionalFormatting sqref="C18:F18 C41:I41 D43 C21:I21 C23:I23 C25:I25 C27:I27 C29:I29 C31:I31 C33:I33 C35:I35 C37:I37 C39:I39 H18:I18 G43">
    <cfRule type="expression" dxfId="2" priority="3">
      <formula>$I$20="INGRESO"</formula>
    </cfRule>
  </conditionalFormatting>
  <conditionalFormatting sqref="C40:I40 C42:C43 D42 C20:I20 C22:I22 C24:I24 C26:I26 C28:I28 C30:I30 C32:I32 C34:I34 C36:I36 C38:I38 G42">
    <cfRule type="expression" dxfId="1" priority="2">
      <formula>$I$20="INGRESO"</formula>
    </cfRule>
  </conditionalFormatting>
  <conditionalFormatting sqref="E19">
    <cfRule type="cellIs" dxfId="0" priority="1" operator="between">
      <formula>1</formula>
      <formula>100</formula>
    </cfRule>
  </conditionalFormatting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CONTADOR!$A:$A</xm:f>
          </x14:formula1>
          <xm:sqref>D43:I43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82302E"/>
  </sheetPr>
  <dimension ref="A14:I60"/>
  <sheetViews>
    <sheetView zoomScale="70" zoomScaleNormal="70" workbookViewId="0">
      <selection activeCell="H16" sqref="H16"/>
    </sheetView>
  </sheetViews>
  <sheetFormatPr baseColWidth="10" defaultRowHeight="15" x14ac:dyDescent="0.25"/>
  <cols>
    <col min="1" max="1" width="30.7109375" style="74" customWidth="1"/>
    <col min="2" max="2" width="11.42578125" style="6"/>
    <col min="3" max="3" width="15.140625" style="186" customWidth="1"/>
    <col min="4" max="4" width="50.42578125" style="187" customWidth="1"/>
    <col min="5" max="5" width="16.7109375" style="187" customWidth="1"/>
    <col min="6" max="6" width="35.140625" style="188" customWidth="1"/>
    <col min="7" max="7" width="67.28515625" style="188" customWidth="1"/>
    <col min="8" max="8" width="15.140625" style="6" customWidth="1"/>
    <col min="9" max="9" width="16.42578125" style="6" customWidth="1"/>
    <col min="10" max="16384" width="11.42578125" style="6"/>
  </cols>
  <sheetData>
    <row r="14" spans="9:9" x14ac:dyDescent="0.25">
      <c r="I14" s="189"/>
    </row>
    <row r="17" spans="3:7" ht="31.5" customHeight="1" x14ac:dyDescent="0.25">
      <c r="C17" s="262" t="str">
        <f>PÓLIZAS!C15</f>
        <v xml:space="preserve">la flor del maiz </v>
      </c>
      <c r="D17" s="263"/>
      <c r="E17" s="263"/>
      <c r="F17" s="263"/>
      <c r="G17" s="264"/>
    </row>
    <row r="18" spans="3:7" ht="18.75" x14ac:dyDescent="0.3">
      <c r="C18" s="202"/>
      <c r="D18" s="203"/>
      <c r="E18" s="203"/>
      <c r="F18" s="204"/>
      <c r="G18" s="203"/>
    </row>
    <row r="19" spans="3:7" ht="15" customHeight="1" x14ac:dyDescent="0.25">
      <c r="C19" s="219" t="s">
        <v>88</v>
      </c>
      <c r="D19" s="265" t="s">
        <v>6</v>
      </c>
      <c r="E19" s="265" t="s">
        <v>807</v>
      </c>
      <c r="F19" s="265" t="s">
        <v>0</v>
      </c>
      <c r="G19" s="265" t="s">
        <v>1</v>
      </c>
    </row>
    <row r="20" spans="3:7" x14ac:dyDescent="0.25">
      <c r="C20" s="219"/>
      <c r="D20" s="266"/>
      <c r="E20" s="266"/>
      <c r="F20" s="266"/>
      <c r="G20" s="266"/>
    </row>
    <row r="21" spans="3:7" x14ac:dyDescent="0.25">
      <c r="C21" s="60">
        <v>401</v>
      </c>
      <c r="D21" s="61" t="s">
        <v>466</v>
      </c>
      <c r="E21" s="61" t="s">
        <v>794</v>
      </c>
      <c r="F21" s="190">
        <v>25000</v>
      </c>
      <c r="G21" s="190">
        <v>25000</v>
      </c>
    </row>
    <row r="22" spans="3:7" x14ac:dyDescent="0.25">
      <c r="C22" s="60">
        <v>402</v>
      </c>
      <c r="D22" s="61" t="s">
        <v>830</v>
      </c>
      <c r="E22" s="61"/>
      <c r="F22" s="190"/>
      <c r="G22" s="190">
        <v>0</v>
      </c>
    </row>
    <row r="23" spans="3:7" x14ac:dyDescent="0.25">
      <c r="C23" s="60">
        <v>402</v>
      </c>
      <c r="D23" s="61" t="s">
        <v>831</v>
      </c>
      <c r="E23" s="61"/>
      <c r="F23" s="190"/>
      <c r="G23" s="190">
        <v>0</v>
      </c>
    </row>
    <row r="24" spans="3:7" x14ac:dyDescent="0.25">
      <c r="C24" s="60">
        <v>402</v>
      </c>
      <c r="D24" s="61" t="s">
        <v>832</v>
      </c>
      <c r="E24" s="61"/>
      <c r="F24" s="190"/>
      <c r="G24" s="190">
        <v>0</v>
      </c>
    </row>
    <row r="25" spans="3:7" x14ac:dyDescent="0.25">
      <c r="C25" s="60">
        <v>402</v>
      </c>
      <c r="D25" s="61" t="s">
        <v>833</v>
      </c>
      <c r="E25" s="61"/>
      <c r="F25" s="190"/>
      <c r="G25" s="190">
        <v>0</v>
      </c>
    </row>
    <row r="26" spans="3:7" x14ac:dyDescent="0.25">
      <c r="C26" s="191">
        <v>401</v>
      </c>
      <c r="D26" s="192"/>
      <c r="E26" s="191"/>
      <c r="F26" s="193" t="s">
        <v>819</v>
      </c>
      <c r="G26" s="194">
        <f>G21-G22-G23-G24-G25</f>
        <v>25000</v>
      </c>
    </row>
    <row r="27" spans="3:7" x14ac:dyDescent="0.25">
      <c r="C27" s="60"/>
      <c r="D27" s="61"/>
      <c r="E27" s="61"/>
      <c r="F27" s="190"/>
      <c r="G27" s="190"/>
    </row>
    <row r="28" spans="3:7" x14ac:dyDescent="0.25">
      <c r="C28" s="60"/>
      <c r="D28" s="61"/>
      <c r="E28" s="61"/>
      <c r="F28" s="190"/>
      <c r="G28" s="190"/>
    </row>
    <row r="29" spans="3:7" x14ac:dyDescent="0.25">
      <c r="C29" s="60">
        <v>502</v>
      </c>
      <c r="D29" s="61" t="s">
        <v>851</v>
      </c>
      <c r="E29" s="61"/>
      <c r="F29" s="190"/>
      <c r="G29" s="190">
        <v>0</v>
      </c>
    </row>
    <row r="30" spans="3:7" x14ac:dyDescent="0.25">
      <c r="C30" s="60">
        <v>502</v>
      </c>
      <c r="D30" s="61" t="s">
        <v>820</v>
      </c>
      <c r="E30" s="61"/>
      <c r="F30" s="190"/>
      <c r="G30" s="190">
        <v>0</v>
      </c>
    </row>
    <row r="31" spans="3:7" x14ac:dyDescent="0.25">
      <c r="C31" s="60">
        <v>502</v>
      </c>
      <c r="D31" s="61" t="s">
        <v>852</v>
      </c>
      <c r="E31" s="61"/>
      <c r="F31" s="190"/>
      <c r="G31" s="190">
        <v>0</v>
      </c>
    </row>
    <row r="32" spans="3:7" x14ac:dyDescent="0.25">
      <c r="C32" s="60">
        <v>502</v>
      </c>
      <c r="D32" s="61" t="s">
        <v>834</v>
      </c>
      <c r="E32" s="61"/>
      <c r="F32" s="190"/>
      <c r="G32" s="190">
        <v>0</v>
      </c>
    </row>
    <row r="33" spans="3:7" x14ac:dyDescent="0.25">
      <c r="C33" s="60">
        <v>502</v>
      </c>
      <c r="D33" s="61" t="s">
        <v>835</v>
      </c>
      <c r="E33" s="61"/>
      <c r="F33" s="190"/>
      <c r="G33" s="190">
        <v>0</v>
      </c>
    </row>
    <row r="34" spans="3:7" ht="20.25" x14ac:dyDescent="0.35">
      <c r="C34" s="191"/>
      <c r="D34" s="195" t="s">
        <v>844</v>
      </c>
      <c r="E34" s="195"/>
      <c r="F34" s="193" t="s">
        <v>818</v>
      </c>
      <c r="G34" s="194">
        <f>(G29+G30)-(G31+G32+G33)</f>
        <v>0</v>
      </c>
    </row>
    <row r="35" spans="3:7" ht="30" x14ac:dyDescent="0.25">
      <c r="C35" s="60">
        <v>115</v>
      </c>
      <c r="D35" s="61" t="s">
        <v>167</v>
      </c>
      <c r="E35" s="61" t="s">
        <v>73</v>
      </c>
      <c r="F35" s="190">
        <v>480000</v>
      </c>
      <c r="G35" s="190"/>
    </row>
    <row r="36" spans="3:7" x14ac:dyDescent="0.25">
      <c r="C36" s="60"/>
      <c r="D36" s="196"/>
      <c r="E36" s="61"/>
      <c r="F36" s="190"/>
      <c r="G36" s="194">
        <f>F36</f>
        <v>0</v>
      </c>
    </row>
    <row r="37" spans="3:7" x14ac:dyDescent="0.25">
      <c r="C37" s="191">
        <v>502</v>
      </c>
      <c r="D37" s="192" t="s">
        <v>818</v>
      </c>
      <c r="E37" s="192"/>
      <c r="F37" s="194"/>
      <c r="G37" s="194">
        <f>G34</f>
        <v>0</v>
      </c>
    </row>
    <row r="38" spans="3:7" ht="15.75" x14ac:dyDescent="0.25">
      <c r="C38" s="191"/>
      <c r="D38" s="197"/>
      <c r="E38" s="197"/>
      <c r="F38" s="193" t="s">
        <v>841</v>
      </c>
      <c r="G38" s="194">
        <f>G36+G34</f>
        <v>0</v>
      </c>
    </row>
    <row r="39" spans="3:7" x14ac:dyDescent="0.25">
      <c r="C39" s="60"/>
      <c r="D39" s="61"/>
      <c r="E39" s="61"/>
      <c r="F39" s="190"/>
      <c r="G39" s="190"/>
    </row>
    <row r="40" spans="3:7" x14ac:dyDescent="0.25">
      <c r="C40" s="60"/>
      <c r="D40" s="61"/>
      <c r="E40" s="61" t="s">
        <v>836</v>
      </c>
      <c r="F40" s="190"/>
      <c r="G40" s="190"/>
    </row>
    <row r="41" spans="3:7" x14ac:dyDescent="0.25">
      <c r="C41" s="191"/>
      <c r="D41" s="192"/>
      <c r="E41" s="192"/>
      <c r="F41" s="193" t="s">
        <v>821</v>
      </c>
      <c r="G41" s="194">
        <f>G38-G37</f>
        <v>0</v>
      </c>
    </row>
    <row r="42" spans="3:7" x14ac:dyDescent="0.25">
      <c r="C42" s="191">
        <v>501</v>
      </c>
      <c r="D42" s="192"/>
      <c r="E42" s="192"/>
      <c r="F42" s="193" t="s">
        <v>819</v>
      </c>
      <c r="G42" s="194">
        <f>G26</f>
        <v>25000</v>
      </c>
    </row>
    <row r="43" spans="3:7" x14ac:dyDescent="0.25">
      <c r="C43" s="191">
        <v>401</v>
      </c>
      <c r="D43" s="192"/>
      <c r="E43" s="192"/>
      <c r="F43" s="193" t="s">
        <v>819</v>
      </c>
      <c r="G43" s="194">
        <f>G26</f>
        <v>25000</v>
      </c>
    </row>
    <row r="44" spans="3:7" x14ac:dyDescent="0.25">
      <c r="C44" s="191">
        <v>501</v>
      </c>
      <c r="D44" s="192"/>
      <c r="E44" s="192"/>
      <c r="F44" s="193" t="s">
        <v>821</v>
      </c>
      <c r="G44" s="194">
        <f>G41</f>
        <v>0</v>
      </c>
    </row>
    <row r="45" spans="3:7" ht="21.75" x14ac:dyDescent="0.25">
      <c r="C45" s="198">
        <v>305.01</v>
      </c>
      <c r="D45" s="199" t="s">
        <v>821</v>
      </c>
      <c r="E45" s="199"/>
      <c r="F45" s="200" t="s">
        <v>822</v>
      </c>
      <c r="G45" s="201">
        <f>G43-G44</f>
        <v>25000</v>
      </c>
    </row>
    <row r="46" spans="3:7" x14ac:dyDescent="0.25">
      <c r="C46" s="60"/>
      <c r="D46" s="61"/>
      <c r="E46" s="61"/>
      <c r="F46" s="190"/>
      <c r="G46" s="190"/>
    </row>
    <row r="47" spans="3:7" x14ac:dyDescent="0.25">
      <c r="C47" s="60"/>
      <c r="D47" s="61"/>
      <c r="E47" s="61"/>
      <c r="F47" s="190"/>
      <c r="G47" s="190"/>
    </row>
    <row r="48" spans="3:7" x14ac:dyDescent="0.25">
      <c r="C48" s="60"/>
      <c r="D48" s="67" t="s">
        <v>839</v>
      </c>
      <c r="E48" s="61"/>
      <c r="F48" s="190"/>
      <c r="G48" s="190"/>
    </row>
    <row r="49" spans="3:7" x14ac:dyDescent="0.25">
      <c r="C49" s="60"/>
      <c r="D49" s="68" t="s">
        <v>840</v>
      </c>
      <c r="E49" s="61"/>
      <c r="F49" s="190"/>
      <c r="G49" s="190"/>
    </row>
    <row r="50" spans="3:7" x14ac:dyDescent="0.25">
      <c r="C50" s="60"/>
      <c r="D50" s="61"/>
      <c r="E50" s="61"/>
      <c r="F50" s="190"/>
      <c r="G50" s="190"/>
    </row>
    <row r="51" spans="3:7" x14ac:dyDescent="0.25">
      <c r="C51" s="60"/>
      <c r="D51" s="61"/>
      <c r="E51" s="61"/>
      <c r="F51" s="190"/>
      <c r="G51" s="190"/>
    </row>
    <row r="52" spans="3:7" x14ac:dyDescent="0.25">
      <c r="C52" s="60"/>
      <c r="D52" s="61"/>
      <c r="E52" s="61"/>
      <c r="F52" s="190"/>
      <c r="G52" s="190"/>
    </row>
    <row r="53" spans="3:7" x14ac:dyDescent="0.25">
      <c r="C53" s="60"/>
      <c r="D53" s="61"/>
      <c r="E53" s="61"/>
      <c r="F53" s="190"/>
      <c r="G53" s="190"/>
    </row>
    <row r="54" spans="3:7" x14ac:dyDescent="0.25">
      <c r="C54" s="60"/>
      <c r="D54" s="61"/>
      <c r="E54" s="61"/>
      <c r="F54" s="190"/>
      <c r="G54" s="190"/>
    </row>
    <row r="55" spans="3:7" x14ac:dyDescent="0.25">
      <c r="C55" s="60"/>
      <c r="D55" s="61"/>
      <c r="E55" s="61"/>
      <c r="F55" s="190"/>
      <c r="G55" s="190"/>
    </row>
    <row r="56" spans="3:7" x14ac:dyDescent="0.25">
      <c r="C56" s="60"/>
      <c r="D56" s="61"/>
      <c r="E56" s="61"/>
      <c r="F56" s="190"/>
      <c r="G56" s="190"/>
    </row>
    <row r="57" spans="3:7" x14ac:dyDescent="0.25">
      <c r="C57" s="60"/>
      <c r="D57" s="61"/>
      <c r="E57" s="61"/>
      <c r="F57" s="190"/>
      <c r="G57" s="190"/>
    </row>
    <row r="58" spans="3:7" x14ac:dyDescent="0.25">
      <c r="C58" s="60"/>
      <c r="D58" s="61"/>
      <c r="E58" s="61"/>
      <c r="F58" s="190"/>
      <c r="G58" s="190"/>
    </row>
    <row r="59" spans="3:7" x14ac:dyDescent="0.25">
      <c r="C59" s="60"/>
      <c r="D59" s="61"/>
      <c r="E59" s="61"/>
      <c r="F59" s="190"/>
      <c r="G59" s="190"/>
    </row>
    <row r="60" spans="3:7" x14ac:dyDescent="0.25">
      <c r="C60" s="60"/>
      <c r="D60" s="61"/>
      <c r="E60" s="61"/>
      <c r="F60" s="190"/>
      <c r="G60" s="190"/>
    </row>
  </sheetData>
  <sheetProtection insertColumns="0" insertRows="0" autoFilter="0"/>
  <mergeCells count="6">
    <mergeCell ref="C17:G17"/>
    <mergeCell ref="C19:C20"/>
    <mergeCell ref="F19:F20"/>
    <mergeCell ref="G19:G20"/>
    <mergeCell ref="D19:D20"/>
    <mergeCell ref="E19:E20"/>
  </mergeCells>
  <pageMargins left="0.7" right="0.7" top="0.75" bottom="0.75" header="0.3" footer="0.3"/>
  <pageSetup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82302E"/>
  </sheetPr>
  <dimension ref="A2:H197"/>
  <sheetViews>
    <sheetView zoomScale="70" zoomScaleNormal="70" workbookViewId="0">
      <selection activeCell="J16" sqref="J16"/>
    </sheetView>
  </sheetViews>
  <sheetFormatPr baseColWidth="10" defaultRowHeight="15" x14ac:dyDescent="0.25"/>
  <cols>
    <col min="1" max="1" width="30.7109375" style="74" customWidth="1"/>
    <col min="2" max="2" width="11.42578125" style="6"/>
    <col min="3" max="3" width="29.7109375" style="6" customWidth="1"/>
    <col min="4" max="4" width="37.42578125" style="6" customWidth="1"/>
    <col min="5" max="5" width="37.5703125" style="6" customWidth="1"/>
    <col min="6" max="6" width="27.85546875" style="6" customWidth="1"/>
    <col min="7" max="7" width="23.28515625" style="6" customWidth="1"/>
    <col min="8" max="8" width="21.42578125" style="6" customWidth="1"/>
    <col min="9" max="9" width="11.42578125" style="6" customWidth="1"/>
    <col min="10" max="16384" width="11.42578125" style="6"/>
  </cols>
  <sheetData>
    <row r="2" spans="3:8" x14ac:dyDescent="0.25">
      <c r="E2" s="205" t="s">
        <v>809</v>
      </c>
      <c r="F2" s="205">
        <v>721400</v>
      </c>
    </row>
    <row r="4" spans="3:8" x14ac:dyDescent="0.25">
      <c r="C4" s="6" t="s">
        <v>5</v>
      </c>
      <c r="D4" s="6" t="s">
        <v>6</v>
      </c>
      <c r="E4" s="6" t="s">
        <v>75</v>
      </c>
      <c r="F4" s="6" t="s">
        <v>85</v>
      </c>
      <c r="G4" s="6" t="s">
        <v>790</v>
      </c>
    </row>
    <row r="5" spans="3:8" x14ac:dyDescent="0.25">
      <c r="C5" s="6">
        <v>200</v>
      </c>
      <c r="D5" s="6" t="s">
        <v>295</v>
      </c>
      <c r="E5" s="6" t="s">
        <v>72</v>
      </c>
      <c r="H5" s="6" t="s">
        <v>808</v>
      </c>
    </row>
    <row r="6" spans="3:8" x14ac:dyDescent="0.25">
      <c r="C6" s="6">
        <v>201</v>
      </c>
      <c r="D6" s="6" t="s">
        <v>297</v>
      </c>
      <c r="E6" s="6" t="s">
        <v>72</v>
      </c>
      <c r="G6" s="6">
        <v>149600</v>
      </c>
      <c r="H6" s="6">
        <v>149600</v>
      </c>
    </row>
    <row r="7" spans="3:8" x14ac:dyDescent="0.25">
      <c r="C7" s="6" t="s">
        <v>84</v>
      </c>
      <c r="G7" s="6">
        <v>149600</v>
      </c>
      <c r="H7" s="6">
        <v>149600</v>
      </c>
    </row>
    <row r="8" spans="3:8" x14ac:dyDescent="0.25">
      <c r="E8" s="205" t="s">
        <v>809</v>
      </c>
      <c r="F8" s="205">
        <v>721400</v>
      </c>
      <c r="H8" s="6" t="s">
        <v>808</v>
      </c>
    </row>
    <row r="9" spans="3:8" x14ac:dyDescent="0.25">
      <c r="H9" s="6" t="s">
        <v>808</v>
      </c>
    </row>
    <row r="16" spans="3:8" ht="27.75" x14ac:dyDescent="0.45">
      <c r="C16" s="224" t="str">
        <f>'ESQUEMA DE MAYOR'!C16:I16</f>
        <v xml:space="preserve">la flor del maiz </v>
      </c>
      <c r="D16" s="224"/>
      <c r="E16" s="224"/>
      <c r="F16" s="224"/>
      <c r="G16" s="224"/>
      <c r="H16" s="224"/>
    </row>
    <row r="17" spans="3:8" ht="28.5" customHeight="1" x14ac:dyDescent="0.25">
      <c r="C17" s="219" t="s">
        <v>14</v>
      </c>
      <c r="D17" s="219"/>
      <c r="E17" s="219"/>
      <c r="F17" s="267">
        <v>43466</v>
      </c>
      <c r="G17" s="267"/>
      <c r="H17" s="267"/>
    </row>
    <row r="18" spans="3:8" x14ac:dyDescent="0.25">
      <c r="C18" s="208" t="s">
        <v>5</v>
      </c>
      <c r="D18" s="208" t="s">
        <v>6</v>
      </c>
      <c r="E18" s="209" t="s">
        <v>75</v>
      </c>
      <c r="F18" s="209" t="s">
        <v>85</v>
      </c>
      <c r="G18" s="209" t="s">
        <v>790</v>
      </c>
      <c r="H18" s="209"/>
    </row>
    <row r="19" spans="3:8" x14ac:dyDescent="0.25">
      <c r="C19" s="20"/>
      <c r="D19" s="20"/>
      <c r="E19" s="36"/>
      <c r="F19" s="36"/>
      <c r="G19" s="36"/>
      <c r="H19" s="36"/>
    </row>
    <row r="20" spans="3:8" x14ac:dyDescent="0.25">
      <c r="C20" s="36" t="s">
        <v>5</v>
      </c>
      <c r="D20" s="36" t="s">
        <v>6</v>
      </c>
      <c r="E20" s="36" t="s">
        <v>75</v>
      </c>
      <c r="F20" s="36" t="s">
        <v>85</v>
      </c>
      <c r="G20" s="36" t="s">
        <v>790</v>
      </c>
      <c r="H20" s="36"/>
    </row>
    <row r="21" spans="3:8" x14ac:dyDescent="0.25">
      <c r="C21" s="36">
        <v>100.01</v>
      </c>
      <c r="D21" s="36" t="s">
        <v>91</v>
      </c>
      <c r="E21" s="36" t="s">
        <v>73</v>
      </c>
      <c r="F21" s="206"/>
      <c r="G21" s="206"/>
      <c r="H21" s="206"/>
    </row>
    <row r="22" spans="3:8" x14ac:dyDescent="0.25">
      <c r="C22" s="36">
        <v>102</v>
      </c>
      <c r="D22" s="36" t="s">
        <v>94</v>
      </c>
      <c r="E22" s="165" t="s">
        <v>73</v>
      </c>
      <c r="F22" s="207">
        <v>110000</v>
      </c>
      <c r="G22" s="206">
        <v>145000</v>
      </c>
      <c r="H22" s="206">
        <v>35000</v>
      </c>
    </row>
    <row r="23" spans="3:8" x14ac:dyDescent="0.25">
      <c r="C23" s="36">
        <v>105</v>
      </c>
      <c r="D23" s="36" t="s">
        <v>102</v>
      </c>
      <c r="E23" s="165" t="s">
        <v>73</v>
      </c>
      <c r="F23" s="207">
        <v>25000</v>
      </c>
      <c r="G23" s="206"/>
      <c r="H23" s="206">
        <v>25000</v>
      </c>
    </row>
    <row r="24" spans="3:8" x14ac:dyDescent="0.25">
      <c r="C24" s="36">
        <v>115</v>
      </c>
      <c r="D24" s="36" t="s">
        <v>167</v>
      </c>
      <c r="E24" s="36" t="s">
        <v>73</v>
      </c>
      <c r="F24" s="206">
        <v>80000</v>
      </c>
      <c r="G24" s="206">
        <v>150000</v>
      </c>
      <c r="H24" s="206">
        <v>70000</v>
      </c>
    </row>
    <row r="25" spans="3:8" x14ac:dyDescent="0.25">
      <c r="C25" s="36" t="s">
        <v>84</v>
      </c>
      <c r="D25" s="36"/>
      <c r="E25" s="36"/>
      <c r="F25" s="206">
        <v>215000</v>
      </c>
      <c r="G25" s="206">
        <v>295000</v>
      </c>
      <c r="H25" s="206">
        <v>80000</v>
      </c>
    </row>
    <row r="26" spans="3:8" x14ac:dyDescent="0.25">
      <c r="C26" s="36"/>
      <c r="D26" s="36"/>
      <c r="E26" s="165" t="s">
        <v>853</v>
      </c>
      <c r="F26" s="207">
        <v>80000</v>
      </c>
      <c r="G26" s="206"/>
      <c r="H26" s="206"/>
    </row>
    <row r="27" spans="3:8" x14ac:dyDescent="0.25">
      <c r="C27" s="36"/>
      <c r="D27" s="36"/>
      <c r="E27" s="165"/>
      <c r="F27" s="207"/>
      <c r="G27" s="206"/>
      <c r="H27" s="206"/>
    </row>
    <row r="28" spans="3:8" x14ac:dyDescent="0.25">
      <c r="C28" s="36"/>
      <c r="D28" s="36"/>
      <c r="E28" s="165"/>
      <c r="F28" s="207"/>
      <c r="G28" s="206"/>
      <c r="H28" s="206"/>
    </row>
    <row r="29" spans="3:8" x14ac:dyDescent="0.25">
      <c r="C29" s="36"/>
      <c r="D29" s="36"/>
      <c r="E29" s="36"/>
      <c r="F29" s="206"/>
      <c r="G29" s="206"/>
      <c r="H29" s="206"/>
    </row>
    <row r="30" spans="3:8" x14ac:dyDescent="0.25">
      <c r="C30" s="36"/>
      <c r="D30" s="36"/>
      <c r="E30" s="165"/>
      <c r="F30" s="207"/>
      <c r="G30" s="206"/>
      <c r="H30" s="206"/>
    </row>
    <row r="31" spans="3:8" x14ac:dyDescent="0.25">
      <c r="C31" s="36"/>
      <c r="D31" s="36"/>
      <c r="E31" s="36"/>
      <c r="F31" s="206"/>
      <c r="G31" s="206"/>
      <c r="H31" s="206"/>
    </row>
    <row r="32" spans="3:8" x14ac:dyDescent="0.25">
      <c r="C32" s="36"/>
      <c r="D32" s="36"/>
      <c r="E32" s="36"/>
      <c r="F32" s="206"/>
      <c r="G32" s="206"/>
      <c r="H32" s="206"/>
    </row>
    <row r="33" spans="3:8" x14ac:dyDescent="0.25">
      <c r="C33" s="36"/>
      <c r="D33" s="36"/>
      <c r="E33" s="165"/>
      <c r="F33" s="207"/>
      <c r="G33" s="206"/>
      <c r="H33" s="206"/>
    </row>
    <row r="34" spans="3:8" x14ac:dyDescent="0.25">
      <c r="C34" s="36" t="s">
        <v>5</v>
      </c>
      <c r="D34" s="36" t="s">
        <v>6</v>
      </c>
      <c r="E34" s="36" t="s">
        <v>75</v>
      </c>
      <c r="F34" s="206" t="s">
        <v>85</v>
      </c>
      <c r="G34" s="206" t="s">
        <v>790</v>
      </c>
      <c r="H34" s="206"/>
    </row>
    <row r="35" spans="3:8" x14ac:dyDescent="0.25">
      <c r="C35" s="36">
        <v>154</v>
      </c>
      <c r="D35" s="36" t="s">
        <v>196</v>
      </c>
      <c r="E35" s="36" t="s">
        <v>74</v>
      </c>
      <c r="F35" s="206">
        <v>50000</v>
      </c>
      <c r="G35" s="206"/>
      <c r="H35" s="206">
        <v>50000</v>
      </c>
    </row>
    <row r="36" spans="3:8" x14ac:dyDescent="0.25">
      <c r="C36" s="36">
        <v>156</v>
      </c>
      <c r="D36" s="36" t="s">
        <v>197</v>
      </c>
      <c r="E36" s="36" t="s">
        <v>74</v>
      </c>
      <c r="F36" s="206">
        <v>15000</v>
      </c>
      <c r="G36" s="206"/>
      <c r="H36" s="206">
        <v>15000</v>
      </c>
    </row>
    <row r="37" spans="3:8" x14ac:dyDescent="0.25">
      <c r="C37" s="36" t="s">
        <v>84</v>
      </c>
      <c r="D37" s="36"/>
      <c r="E37" s="36"/>
      <c r="F37" s="206">
        <v>65000</v>
      </c>
      <c r="G37" s="206"/>
      <c r="H37" s="206">
        <v>65000</v>
      </c>
    </row>
    <row r="38" spans="3:8" x14ac:dyDescent="0.25">
      <c r="C38" s="36"/>
      <c r="D38" s="36"/>
      <c r="E38" s="165" t="s">
        <v>854</v>
      </c>
      <c r="F38" s="207">
        <v>65000</v>
      </c>
      <c r="G38" s="206"/>
      <c r="H38" s="206"/>
    </row>
    <row r="39" spans="3:8" x14ac:dyDescent="0.25">
      <c r="C39" s="36"/>
      <c r="D39" s="36"/>
      <c r="E39" s="36"/>
      <c r="F39" s="206"/>
      <c r="G39" s="206"/>
      <c r="H39" s="206"/>
    </row>
    <row r="40" spans="3:8" x14ac:dyDescent="0.25">
      <c r="C40" s="36"/>
      <c r="D40" s="36"/>
      <c r="E40" s="165"/>
      <c r="F40" s="207"/>
      <c r="G40" s="206"/>
      <c r="H40" s="206"/>
    </row>
    <row r="41" spans="3:8" x14ac:dyDescent="0.25">
      <c r="C41" s="36"/>
      <c r="D41" s="36"/>
      <c r="E41" s="36"/>
      <c r="F41" s="206"/>
      <c r="G41" s="206"/>
      <c r="H41" s="206"/>
    </row>
    <row r="42" spans="3:8" x14ac:dyDescent="0.25">
      <c r="C42" s="36"/>
      <c r="D42" s="36"/>
      <c r="E42" s="165"/>
      <c r="F42" s="207"/>
      <c r="G42" s="206"/>
      <c r="H42" s="206"/>
    </row>
    <row r="43" spans="3:8" x14ac:dyDescent="0.25">
      <c r="C43" s="36"/>
      <c r="D43" s="36"/>
      <c r="E43" s="165"/>
      <c r="F43" s="207"/>
      <c r="G43" s="206"/>
      <c r="H43" s="206"/>
    </row>
    <row r="44" spans="3:8" x14ac:dyDescent="0.25">
      <c r="C44" s="36"/>
      <c r="D44" s="36"/>
      <c r="E44" s="36"/>
      <c r="F44" s="206"/>
      <c r="G44" s="206"/>
      <c r="H44" s="206"/>
    </row>
    <row r="45" spans="3:8" x14ac:dyDescent="0.25">
      <c r="C45" s="36"/>
      <c r="D45" s="36"/>
      <c r="E45" s="36"/>
      <c r="F45" s="206"/>
      <c r="G45" s="206"/>
      <c r="H45" s="206"/>
    </row>
    <row r="46" spans="3:8" x14ac:dyDescent="0.25">
      <c r="C46" s="36" t="s">
        <v>5</v>
      </c>
      <c r="D46" s="36" t="s">
        <v>6</v>
      </c>
      <c r="E46" s="36" t="s">
        <v>75</v>
      </c>
      <c r="F46" s="207" t="s">
        <v>85</v>
      </c>
      <c r="G46" s="206" t="s">
        <v>790</v>
      </c>
      <c r="H46" s="206"/>
    </row>
    <row r="47" spans="3:8" x14ac:dyDescent="0.25">
      <c r="C47" s="36">
        <v>201</v>
      </c>
      <c r="D47" s="36" t="s">
        <v>297</v>
      </c>
      <c r="E47" s="165" t="s">
        <v>72</v>
      </c>
      <c r="F47" s="207">
        <v>50000</v>
      </c>
      <c r="G47" s="206"/>
      <c r="H47" s="206">
        <v>50000</v>
      </c>
    </row>
    <row r="48" spans="3:8" x14ac:dyDescent="0.25">
      <c r="C48" s="36">
        <v>202</v>
      </c>
      <c r="D48" s="36" t="s">
        <v>302</v>
      </c>
      <c r="E48" s="165" t="s">
        <v>72</v>
      </c>
      <c r="F48" s="207"/>
      <c r="G48" s="206">
        <v>10000</v>
      </c>
      <c r="H48" s="206">
        <v>10000</v>
      </c>
    </row>
    <row r="49" spans="3:8" x14ac:dyDescent="0.25">
      <c r="C49" s="36" t="s">
        <v>84</v>
      </c>
      <c r="D49" s="36"/>
      <c r="E49" s="165"/>
      <c r="F49" s="207">
        <v>50000</v>
      </c>
      <c r="G49" s="206">
        <v>10000</v>
      </c>
      <c r="H49" s="206">
        <v>40000</v>
      </c>
    </row>
    <row r="50" spans="3:8" x14ac:dyDescent="0.25">
      <c r="C50" s="36"/>
      <c r="D50" s="36"/>
      <c r="E50" s="165" t="s">
        <v>855</v>
      </c>
      <c r="F50" s="207">
        <v>40000</v>
      </c>
      <c r="G50" s="206"/>
      <c r="H50" s="206"/>
    </row>
    <row r="51" spans="3:8" x14ac:dyDescent="0.25">
      <c r="C51" s="36"/>
      <c r="D51" s="36"/>
      <c r="E51" s="165"/>
      <c r="F51" s="207"/>
      <c r="G51" s="206"/>
      <c r="H51" s="206"/>
    </row>
    <row r="52" spans="3:8" x14ac:dyDescent="0.25">
      <c r="C52" s="36"/>
      <c r="D52" s="36"/>
      <c r="E52" s="36"/>
      <c r="F52" s="206"/>
      <c r="G52" s="206"/>
      <c r="H52" s="206"/>
    </row>
    <row r="53" spans="3:8" x14ac:dyDescent="0.25">
      <c r="C53" s="36"/>
      <c r="D53" s="36"/>
      <c r="E53" s="36"/>
      <c r="F53" s="206"/>
      <c r="G53" s="206"/>
      <c r="H53" s="206"/>
    </row>
    <row r="54" spans="3:8" x14ac:dyDescent="0.25">
      <c r="C54" s="36"/>
      <c r="D54" s="36"/>
      <c r="E54" s="165"/>
      <c r="F54" s="207"/>
      <c r="G54" s="206"/>
      <c r="H54" s="206"/>
    </row>
    <row r="55" spans="3:8" x14ac:dyDescent="0.25">
      <c r="C55" s="36"/>
      <c r="D55" s="36"/>
      <c r="E55" s="165"/>
      <c r="F55" s="207"/>
      <c r="G55" s="206"/>
      <c r="H55" s="206"/>
    </row>
    <row r="56" spans="3:8" x14ac:dyDescent="0.25">
      <c r="C56" s="36"/>
      <c r="D56" s="36"/>
      <c r="E56" s="165"/>
      <c r="F56" s="207"/>
      <c r="G56" s="206"/>
      <c r="H56" s="206"/>
    </row>
    <row r="57" spans="3:8" x14ac:dyDescent="0.25">
      <c r="C57" s="36"/>
      <c r="D57" s="36"/>
      <c r="E57" s="165"/>
      <c r="F57" s="207"/>
      <c r="G57" s="206"/>
      <c r="H57" s="206"/>
    </row>
    <row r="58" spans="3:8" x14ac:dyDescent="0.25">
      <c r="C58" s="36"/>
      <c r="D58" s="36"/>
      <c r="E58" s="165" t="s">
        <v>856</v>
      </c>
      <c r="F58" s="207">
        <v>105000</v>
      </c>
      <c r="G58" s="206"/>
      <c r="H58" s="206"/>
    </row>
    <row r="59" spans="3:8" x14ac:dyDescent="0.25">
      <c r="C59" s="36"/>
      <c r="D59" s="36"/>
      <c r="E59" s="36"/>
      <c r="F59" s="206"/>
      <c r="G59" s="206"/>
      <c r="H59" s="206"/>
    </row>
    <row r="60" spans="3:8" x14ac:dyDescent="0.25">
      <c r="C60" s="36"/>
      <c r="D60" s="36"/>
      <c r="E60" s="36"/>
      <c r="F60" s="206"/>
      <c r="G60" s="206"/>
      <c r="H60" s="206"/>
    </row>
    <row r="61" spans="3:8" x14ac:dyDescent="0.25">
      <c r="C61" s="36"/>
      <c r="D61" s="36"/>
      <c r="E61" s="165"/>
      <c r="F61" s="207"/>
      <c r="G61" s="206"/>
      <c r="H61" s="206"/>
    </row>
    <row r="62" spans="3:8" x14ac:dyDescent="0.25">
      <c r="C62" s="36"/>
      <c r="D62" s="36"/>
      <c r="E62" s="165"/>
      <c r="F62" s="207"/>
      <c r="G62" s="206"/>
      <c r="H62" s="206"/>
    </row>
    <row r="63" spans="3:8" x14ac:dyDescent="0.25">
      <c r="C63" s="36"/>
      <c r="D63" s="36"/>
      <c r="E63" s="165"/>
      <c r="F63" s="207"/>
      <c r="G63" s="206"/>
      <c r="H63" s="206"/>
    </row>
    <row r="64" spans="3:8" x14ac:dyDescent="0.25">
      <c r="C64" s="36"/>
      <c r="D64" s="36"/>
      <c r="E64" s="36"/>
      <c r="F64" s="206"/>
      <c r="G64" s="206"/>
      <c r="H64" s="206"/>
    </row>
    <row r="65" spans="3:8" x14ac:dyDescent="0.25">
      <c r="C65" s="36"/>
      <c r="D65" s="36"/>
      <c r="E65" s="36"/>
      <c r="F65" s="206"/>
      <c r="G65" s="206"/>
      <c r="H65" s="206"/>
    </row>
    <row r="66" spans="3:8" x14ac:dyDescent="0.25">
      <c r="C66" s="36"/>
      <c r="D66" s="36"/>
      <c r="E66" s="36"/>
      <c r="F66" s="206"/>
      <c r="G66" s="206"/>
      <c r="H66" s="206"/>
    </row>
    <row r="67" spans="3:8" x14ac:dyDescent="0.25">
      <c r="C67" s="36"/>
      <c r="D67" s="36"/>
      <c r="E67" s="36"/>
      <c r="F67" s="206"/>
      <c r="G67" s="206"/>
      <c r="H67" s="206"/>
    </row>
    <row r="68" spans="3:8" x14ac:dyDescent="0.25">
      <c r="C68" s="36"/>
      <c r="D68" s="36"/>
      <c r="E68" s="165"/>
      <c r="F68" s="207"/>
      <c r="G68" s="206"/>
      <c r="H68" s="206"/>
    </row>
    <row r="69" spans="3:8" x14ac:dyDescent="0.25">
      <c r="C69" s="36"/>
      <c r="D69" s="36"/>
      <c r="E69" s="165"/>
      <c r="F69" s="207"/>
      <c r="G69" s="206"/>
      <c r="H69" s="206"/>
    </row>
    <row r="70" spans="3:8" x14ac:dyDescent="0.25">
      <c r="C70" s="36"/>
      <c r="D70" s="36"/>
      <c r="E70" s="36"/>
      <c r="F70" s="206"/>
      <c r="G70" s="206"/>
      <c r="H70" s="206"/>
    </row>
    <row r="71" spans="3:8" x14ac:dyDescent="0.25">
      <c r="C71" s="36"/>
      <c r="D71" s="36"/>
      <c r="E71" s="36"/>
      <c r="F71" s="206"/>
      <c r="G71" s="206"/>
      <c r="H71" s="206"/>
    </row>
    <row r="72" spans="3:8" x14ac:dyDescent="0.25">
      <c r="C72" s="36"/>
      <c r="D72" s="36"/>
      <c r="E72" s="36"/>
      <c r="F72" s="207"/>
      <c r="G72" s="206"/>
      <c r="H72" s="206"/>
    </row>
    <row r="73" spans="3:8" x14ac:dyDescent="0.25">
      <c r="C73" s="36"/>
      <c r="D73" s="36"/>
      <c r="E73" s="36"/>
      <c r="F73" s="206"/>
      <c r="G73" s="206"/>
      <c r="H73" s="206"/>
    </row>
    <row r="74" spans="3:8" x14ac:dyDescent="0.25">
      <c r="C74" s="36"/>
      <c r="D74" s="36"/>
      <c r="E74" s="36"/>
      <c r="F74" s="206"/>
      <c r="G74" s="206"/>
      <c r="H74" s="206"/>
    </row>
    <row r="75" spans="3:8" x14ac:dyDescent="0.25">
      <c r="C75" s="36"/>
      <c r="D75" s="36"/>
      <c r="E75" s="165"/>
      <c r="F75" s="207"/>
      <c r="G75" s="206"/>
      <c r="H75" s="206"/>
    </row>
    <row r="76" spans="3:8" x14ac:dyDescent="0.25">
      <c r="C76" s="36"/>
      <c r="D76" s="36"/>
      <c r="E76" s="165"/>
      <c r="F76" s="207"/>
      <c r="G76" s="206"/>
      <c r="H76" s="206"/>
    </row>
    <row r="77" spans="3:8" x14ac:dyDescent="0.25">
      <c r="C77" s="36"/>
      <c r="D77" s="36"/>
      <c r="E77" s="36"/>
      <c r="F77" s="206"/>
      <c r="G77" s="206"/>
      <c r="H77" s="206"/>
    </row>
    <row r="78" spans="3:8" x14ac:dyDescent="0.25">
      <c r="C78" s="36"/>
      <c r="D78" s="36"/>
      <c r="E78" s="36"/>
      <c r="F78" s="206"/>
      <c r="G78" s="206"/>
      <c r="H78" s="206"/>
    </row>
    <row r="79" spans="3:8" x14ac:dyDescent="0.25">
      <c r="C79" s="36"/>
      <c r="D79" s="36"/>
      <c r="E79" s="165"/>
      <c r="F79" s="207"/>
      <c r="G79" s="206"/>
      <c r="H79" s="206"/>
    </row>
    <row r="80" spans="3:8" x14ac:dyDescent="0.25">
      <c r="C80" s="36"/>
      <c r="D80" s="36"/>
      <c r="E80" s="36"/>
      <c r="F80" s="206"/>
      <c r="G80" s="206"/>
      <c r="H80" s="206"/>
    </row>
    <row r="81" spans="3:8" x14ac:dyDescent="0.25">
      <c r="C81" s="36"/>
      <c r="D81" s="36"/>
      <c r="E81" s="36"/>
      <c r="F81" s="206"/>
      <c r="G81" s="206"/>
      <c r="H81" s="206"/>
    </row>
    <row r="82" spans="3:8" x14ac:dyDescent="0.25">
      <c r="C82" s="36"/>
      <c r="D82" s="36"/>
      <c r="E82" s="165"/>
      <c r="F82" s="207"/>
      <c r="G82" s="206"/>
      <c r="H82" s="206"/>
    </row>
    <row r="84" spans="3:8" x14ac:dyDescent="0.25">
      <c r="E84" s="205"/>
      <c r="F84" s="205"/>
    </row>
    <row r="87" spans="3:8" x14ac:dyDescent="0.25">
      <c r="E87" s="205"/>
      <c r="F87" s="205"/>
    </row>
    <row r="92" spans="3:8" x14ac:dyDescent="0.25">
      <c r="E92" s="205"/>
      <c r="F92" s="205"/>
    </row>
    <row r="93" spans="3:8" x14ac:dyDescent="0.25">
      <c r="E93" s="205"/>
      <c r="F93" s="205"/>
    </row>
    <row r="105" spans="5:6" x14ac:dyDescent="0.25">
      <c r="E105" s="205"/>
      <c r="F105" s="205"/>
    </row>
    <row r="109" spans="5:6" x14ac:dyDescent="0.25">
      <c r="E109" s="205"/>
      <c r="F109" s="205"/>
    </row>
    <row r="111" spans="5:6" x14ac:dyDescent="0.25">
      <c r="E111" s="205"/>
      <c r="F111" s="205"/>
    </row>
    <row r="117" spans="5:6" x14ac:dyDescent="0.25">
      <c r="E117" s="205"/>
      <c r="F117" s="205"/>
    </row>
    <row r="119" spans="5:6" x14ac:dyDescent="0.25">
      <c r="E119" s="205"/>
      <c r="F119" s="205"/>
    </row>
    <row r="127" spans="5:6" x14ac:dyDescent="0.25">
      <c r="E127" s="205"/>
      <c r="F127" s="205"/>
    </row>
    <row r="128" spans="5:6" x14ac:dyDescent="0.25">
      <c r="E128" s="205"/>
      <c r="F128" s="205"/>
    </row>
    <row r="140" spans="5:6" x14ac:dyDescent="0.25">
      <c r="E140" s="205"/>
      <c r="F140" s="205"/>
    </row>
    <row r="154" spans="5:6" x14ac:dyDescent="0.25">
      <c r="E154" s="205"/>
      <c r="F154" s="205"/>
    </row>
    <row r="162" spans="5:6" x14ac:dyDescent="0.25">
      <c r="E162" s="205"/>
      <c r="F162" s="205"/>
    </row>
    <row r="163" spans="5:6" x14ac:dyDescent="0.25">
      <c r="E163" s="205"/>
      <c r="F163" s="205"/>
    </row>
    <row r="175" spans="5:6" x14ac:dyDescent="0.25">
      <c r="E175" s="205"/>
      <c r="F175" s="205"/>
    </row>
    <row r="189" spans="5:6" x14ac:dyDescent="0.25">
      <c r="E189" s="205"/>
      <c r="F189" s="205"/>
    </row>
    <row r="197" spans="5:6" x14ac:dyDescent="0.25">
      <c r="E197" s="205"/>
      <c r="F197" s="205"/>
    </row>
  </sheetData>
  <mergeCells count="3">
    <mergeCell ref="C16:H16"/>
    <mergeCell ref="C17:E17"/>
    <mergeCell ref="F17:H17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>
    <tabColor rgb="FF82302E"/>
  </sheetPr>
  <dimension ref="A1:O52"/>
  <sheetViews>
    <sheetView zoomScale="90" zoomScaleNormal="90" workbookViewId="0">
      <selection activeCell="C19" sqref="C19"/>
    </sheetView>
  </sheetViews>
  <sheetFormatPr baseColWidth="10" defaultRowHeight="15" x14ac:dyDescent="0.25"/>
  <cols>
    <col min="1" max="1" width="12.5703125" bestFit="1" customWidth="1"/>
    <col min="2" max="2" width="79.5703125" bestFit="1" customWidth="1"/>
    <col min="3" max="3" width="15" bestFit="1" customWidth="1"/>
    <col min="4" max="4" width="13.42578125" bestFit="1" customWidth="1"/>
    <col min="5" max="5" width="14.85546875" bestFit="1" customWidth="1"/>
    <col min="9" max="9" width="29.42578125" customWidth="1"/>
    <col min="10" max="10" width="21.28515625" customWidth="1"/>
    <col min="11" max="11" width="15.85546875" customWidth="1"/>
    <col min="12" max="12" width="12.85546875" customWidth="1"/>
    <col min="13" max="13" width="17.5703125" customWidth="1"/>
    <col min="14" max="14" width="18.42578125" customWidth="1"/>
    <col min="15" max="15" width="22" customWidth="1"/>
    <col min="16" max="16" width="36.140625" customWidth="1"/>
  </cols>
  <sheetData>
    <row r="1" spans="1:15" x14ac:dyDescent="0.25">
      <c r="D1" s="70" t="s">
        <v>850</v>
      </c>
      <c r="I1" t="s">
        <v>791</v>
      </c>
      <c r="J1" t="s">
        <v>792</v>
      </c>
      <c r="K1" t="s">
        <v>793</v>
      </c>
      <c r="L1" t="s">
        <v>791</v>
      </c>
      <c r="M1">
        <f>E1</f>
        <v>0</v>
      </c>
      <c r="N1" t="str">
        <f t="shared" ref="M1:N47" si="0">D1</f>
        <v>Valores</v>
      </c>
    </row>
    <row r="2" spans="1:15" x14ac:dyDescent="0.25">
      <c r="A2" s="70" t="s">
        <v>5</v>
      </c>
      <c r="B2" s="70" t="s">
        <v>6</v>
      </c>
      <c r="C2" s="70" t="s">
        <v>75</v>
      </c>
      <c r="D2" t="s">
        <v>85</v>
      </c>
      <c r="E2" t="s">
        <v>790</v>
      </c>
      <c r="I2" t="str">
        <f>B2</f>
        <v>CUENTAS</v>
      </c>
      <c r="J2" t="str">
        <f>A2</f>
        <v>No. CTA</v>
      </c>
      <c r="K2" t="str">
        <f t="shared" ref="K2:K52" si="1">MID(J2,1,3)</f>
        <v>No.</v>
      </c>
      <c r="L2" t="e">
        <f>K2+0</f>
        <v>#VALUE!</v>
      </c>
      <c r="M2" t="str">
        <f t="shared" ref="M2:M18" si="2">E2</f>
        <v>Suma de HABER</v>
      </c>
      <c r="N2" t="str">
        <f t="shared" si="0"/>
        <v>Suma de DEBE</v>
      </c>
      <c r="O2" t="e">
        <f>IF(M2&gt;N2, M2-N2, IF(N2&gt;M2, N2-M2, ""))</f>
        <v>#VALUE!</v>
      </c>
    </row>
    <row r="3" spans="1:15" x14ac:dyDescent="0.25">
      <c r="A3">
        <v>201</v>
      </c>
      <c r="B3" t="s">
        <v>297</v>
      </c>
      <c r="C3" t="s">
        <v>72</v>
      </c>
      <c r="D3" s="71">
        <v>50000</v>
      </c>
      <c r="E3" s="71"/>
      <c r="F3">
        <f t="shared" ref="F3:F18" si="3">IF(D3&gt;E3, D3-E3, IF(E3&gt;D3, E3-D3, ""))</f>
        <v>50000</v>
      </c>
      <c r="I3" t="str">
        <f t="shared" ref="I3:I52" si="4">B3</f>
        <v>Proveedores</v>
      </c>
      <c r="J3">
        <f t="shared" ref="J3:J52" si="5">A3</f>
        <v>201</v>
      </c>
      <c r="K3" t="str">
        <f t="shared" si="1"/>
        <v>201</v>
      </c>
      <c r="L3">
        <f t="shared" ref="L3:L52" si="6">K3+0</f>
        <v>201</v>
      </c>
      <c r="M3">
        <f t="shared" si="2"/>
        <v>0</v>
      </c>
      <c r="N3">
        <f t="shared" si="0"/>
        <v>50000</v>
      </c>
      <c r="O3">
        <f>IF(M3&gt;N3, M3-N3, IF(N3&gt;M3, N3-M3, ""))</f>
        <v>50000</v>
      </c>
    </row>
    <row r="4" spans="1:15" x14ac:dyDescent="0.25">
      <c r="A4">
        <v>202</v>
      </c>
      <c r="B4" t="s">
        <v>302</v>
      </c>
      <c r="C4" t="s">
        <v>72</v>
      </c>
      <c r="D4" s="71"/>
      <c r="E4" s="71">
        <v>10000</v>
      </c>
      <c r="F4">
        <f t="shared" si="3"/>
        <v>10000</v>
      </c>
      <c r="I4" t="str">
        <f t="shared" si="4"/>
        <v>Cuentas por pagar a corto plazo</v>
      </c>
      <c r="J4">
        <f t="shared" si="5"/>
        <v>202</v>
      </c>
      <c r="K4" t="str">
        <f t="shared" si="1"/>
        <v>202</v>
      </c>
      <c r="L4">
        <f t="shared" si="6"/>
        <v>202</v>
      </c>
      <c r="M4">
        <f t="shared" si="2"/>
        <v>10000</v>
      </c>
      <c r="N4">
        <f t="shared" si="0"/>
        <v>0</v>
      </c>
      <c r="O4">
        <f t="shared" ref="O4:O52" si="7">IF(M4&gt;N4, M4-N4, IF(N4&gt;M4, N4-M4, ""))</f>
        <v>10000</v>
      </c>
    </row>
    <row r="5" spans="1:15" x14ac:dyDescent="0.25">
      <c r="A5" t="s">
        <v>84</v>
      </c>
      <c r="D5" s="71">
        <v>50000</v>
      </c>
      <c r="E5" s="71">
        <v>10000</v>
      </c>
      <c r="F5">
        <f t="shared" si="3"/>
        <v>40000</v>
      </c>
      <c r="I5">
        <f t="shared" si="4"/>
        <v>0</v>
      </c>
      <c r="J5" t="str">
        <f t="shared" si="5"/>
        <v>Total general</v>
      </c>
      <c r="K5" t="str">
        <f t="shared" si="1"/>
        <v>Tot</v>
      </c>
      <c r="L5" t="e">
        <f t="shared" si="6"/>
        <v>#VALUE!</v>
      </c>
      <c r="M5">
        <f t="shared" si="2"/>
        <v>10000</v>
      </c>
      <c r="N5">
        <f t="shared" si="0"/>
        <v>50000</v>
      </c>
      <c r="O5">
        <f t="shared" si="7"/>
        <v>40000</v>
      </c>
    </row>
    <row r="6" spans="1:15" x14ac:dyDescent="0.25">
      <c r="F6" t="str">
        <f t="shared" si="3"/>
        <v/>
      </c>
      <c r="I6">
        <f t="shared" si="4"/>
        <v>0</v>
      </c>
      <c r="J6">
        <f>A6</f>
        <v>0</v>
      </c>
      <c r="K6" t="str">
        <f t="shared" si="1"/>
        <v>0</v>
      </c>
      <c r="L6">
        <f>K6+0</f>
        <v>0</v>
      </c>
      <c r="M6">
        <f t="shared" si="2"/>
        <v>0</v>
      </c>
      <c r="N6">
        <f t="shared" si="0"/>
        <v>0</v>
      </c>
      <c r="O6" t="str">
        <f t="shared" si="7"/>
        <v/>
      </c>
    </row>
    <row r="7" spans="1:15" x14ac:dyDescent="0.25">
      <c r="F7" t="str">
        <f t="shared" si="3"/>
        <v/>
      </c>
      <c r="I7">
        <f t="shared" si="4"/>
        <v>0</v>
      </c>
      <c r="J7">
        <f t="shared" si="5"/>
        <v>0</v>
      </c>
      <c r="K7" t="str">
        <f t="shared" si="1"/>
        <v>0</v>
      </c>
      <c r="L7">
        <f t="shared" si="6"/>
        <v>0</v>
      </c>
      <c r="M7">
        <f t="shared" si="2"/>
        <v>0</v>
      </c>
      <c r="N7">
        <f t="shared" si="0"/>
        <v>0</v>
      </c>
      <c r="O7" t="str">
        <f t="shared" si="7"/>
        <v/>
      </c>
    </row>
    <row r="8" spans="1:15" x14ac:dyDescent="0.25">
      <c r="F8" t="str">
        <f t="shared" si="3"/>
        <v/>
      </c>
      <c r="I8">
        <f t="shared" si="4"/>
        <v>0</v>
      </c>
      <c r="J8">
        <f t="shared" si="5"/>
        <v>0</v>
      </c>
      <c r="K8" t="str">
        <f t="shared" si="1"/>
        <v>0</v>
      </c>
      <c r="L8">
        <f t="shared" si="6"/>
        <v>0</v>
      </c>
      <c r="M8">
        <f t="shared" si="2"/>
        <v>0</v>
      </c>
      <c r="N8">
        <f t="shared" si="0"/>
        <v>0</v>
      </c>
      <c r="O8" t="str">
        <f t="shared" si="7"/>
        <v/>
      </c>
    </row>
    <row r="9" spans="1:15" x14ac:dyDescent="0.25">
      <c r="F9" t="str">
        <f t="shared" si="3"/>
        <v/>
      </c>
      <c r="I9">
        <f t="shared" si="4"/>
        <v>0</v>
      </c>
      <c r="J9">
        <f t="shared" si="5"/>
        <v>0</v>
      </c>
      <c r="K9" t="str">
        <f t="shared" si="1"/>
        <v>0</v>
      </c>
      <c r="L9">
        <f t="shared" si="6"/>
        <v>0</v>
      </c>
      <c r="M9">
        <f t="shared" si="2"/>
        <v>0</v>
      </c>
      <c r="N9">
        <f t="shared" si="0"/>
        <v>0</v>
      </c>
      <c r="O9" t="str">
        <f t="shared" si="7"/>
        <v/>
      </c>
    </row>
    <row r="10" spans="1:15" x14ac:dyDescent="0.25">
      <c r="F10" t="str">
        <f t="shared" si="3"/>
        <v/>
      </c>
      <c r="I10">
        <f t="shared" si="4"/>
        <v>0</v>
      </c>
      <c r="J10">
        <f>A10</f>
        <v>0</v>
      </c>
      <c r="K10" t="str">
        <f t="shared" si="1"/>
        <v>0</v>
      </c>
      <c r="L10">
        <f t="shared" si="6"/>
        <v>0</v>
      </c>
      <c r="M10">
        <f t="shared" si="2"/>
        <v>0</v>
      </c>
      <c r="N10">
        <f t="shared" si="0"/>
        <v>0</v>
      </c>
      <c r="O10" t="str">
        <f t="shared" si="7"/>
        <v/>
      </c>
    </row>
    <row r="11" spans="1:15" x14ac:dyDescent="0.25">
      <c r="F11" t="str">
        <f t="shared" si="3"/>
        <v/>
      </c>
      <c r="I11">
        <f t="shared" si="4"/>
        <v>0</v>
      </c>
      <c r="J11">
        <f t="shared" si="5"/>
        <v>0</v>
      </c>
      <c r="K11" t="str">
        <f t="shared" si="1"/>
        <v>0</v>
      </c>
      <c r="L11">
        <f t="shared" si="6"/>
        <v>0</v>
      </c>
      <c r="M11">
        <f t="shared" si="2"/>
        <v>0</v>
      </c>
      <c r="N11">
        <f t="shared" si="0"/>
        <v>0</v>
      </c>
      <c r="O11" t="str">
        <f t="shared" si="7"/>
        <v/>
      </c>
    </row>
    <row r="12" spans="1:15" x14ac:dyDescent="0.25">
      <c r="F12" t="str">
        <f t="shared" si="3"/>
        <v/>
      </c>
      <c r="I12">
        <f t="shared" si="4"/>
        <v>0</v>
      </c>
      <c r="J12">
        <f t="shared" si="5"/>
        <v>0</v>
      </c>
      <c r="K12" t="str">
        <f t="shared" si="1"/>
        <v>0</v>
      </c>
      <c r="L12">
        <f t="shared" si="6"/>
        <v>0</v>
      </c>
      <c r="M12">
        <f t="shared" si="2"/>
        <v>0</v>
      </c>
      <c r="N12">
        <f t="shared" si="0"/>
        <v>0</v>
      </c>
      <c r="O12" t="str">
        <f t="shared" si="7"/>
        <v/>
      </c>
    </row>
    <row r="13" spans="1:15" x14ac:dyDescent="0.25">
      <c r="F13" t="str">
        <f t="shared" si="3"/>
        <v/>
      </c>
      <c r="I13">
        <f t="shared" si="4"/>
        <v>0</v>
      </c>
      <c r="J13">
        <f t="shared" si="5"/>
        <v>0</v>
      </c>
      <c r="K13" t="str">
        <f t="shared" si="1"/>
        <v>0</v>
      </c>
      <c r="L13">
        <f t="shared" si="6"/>
        <v>0</v>
      </c>
      <c r="M13">
        <f t="shared" si="2"/>
        <v>0</v>
      </c>
      <c r="N13">
        <f t="shared" si="0"/>
        <v>0</v>
      </c>
      <c r="O13" t="str">
        <f t="shared" si="7"/>
        <v/>
      </c>
    </row>
    <row r="14" spans="1:15" x14ac:dyDescent="0.25">
      <c r="F14" t="str">
        <f t="shared" si="3"/>
        <v/>
      </c>
      <c r="I14">
        <f t="shared" si="4"/>
        <v>0</v>
      </c>
      <c r="J14">
        <f t="shared" si="5"/>
        <v>0</v>
      </c>
      <c r="K14" t="str">
        <f t="shared" si="1"/>
        <v>0</v>
      </c>
      <c r="L14">
        <f t="shared" si="6"/>
        <v>0</v>
      </c>
      <c r="M14">
        <f t="shared" si="2"/>
        <v>0</v>
      </c>
      <c r="N14">
        <f t="shared" si="0"/>
        <v>0</v>
      </c>
      <c r="O14" t="str">
        <f t="shared" si="7"/>
        <v/>
      </c>
    </row>
    <row r="15" spans="1:15" x14ac:dyDescent="0.25">
      <c r="F15" t="str">
        <f t="shared" si="3"/>
        <v/>
      </c>
      <c r="I15">
        <f t="shared" si="4"/>
        <v>0</v>
      </c>
      <c r="J15">
        <f>A15</f>
        <v>0</v>
      </c>
      <c r="K15" t="str">
        <f t="shared" si="1"/>
        <v>0</v>
      </c>
      <c r="L15">
        <f t="shared" si="6"/>
        <v>0</v>
      </c>
      <c r="M15">
        <f t="shared" si="2"/>
        <v>0</v>
      </c>
      <c r="N15">
        <f t="shared" si="0"/>
        <v>0</v>
      </c>
      <c r="O15" t="str">
        <f t="shared" si="7"/>
        <v/>
      </c>
    </row>
    <row r="16" spans="1:15" x14ac:dyDescent="0.25">
      <c r="F16" t="str">
        <f t="shared" si="3"/>
        <v/>
      </c>
      <c r="I16">
        <f t="shared" si="4"/>
        <v>0</v>
      </c>
      <c r="J16">
        <f t="shared" si="5"/>
        <v>0</v>
      </c>
      <c r="K16" t="str">
        <f t="shared" si="1"/>
        <v>0</v>
      </c>
      <c r="L16">
        <f t="shared" si="6"/>
        <v>0</v>
      </c>
      <c r="M16">
        <f t="shared" si="2"/>
        <v>0</v>
      </c>
      <c r="N16">
        <f t="shared" si="0"/>
        <v>0</v>
      </c>
      <c r="O16" t="str">
        <f t="shared" si="7"/>
        <v/>
      </c>
    </row>
    <row r="17" spans="6:15" x14ac:dyDescent="0.25">
      <c r="F17" t="str">
        <f t="shared" si="3"/>
        <v/>
      </c>
      <c r="I17">
        <f t="shared" si="4"/>
        <v>0</v>
      </c>
      <c r="J17">
        <f t="shared" si="5"/>
        <v>0</v>
      </c>
      <c r="K17" t="str">
        <f t="shared" si="1"/>
        <v>0</v>
      </c>
      <c r="L17">
        <f t="shared" si="6"/>
        <v>0</v>
      </c>
      <c r="M17">
        <f t="shared" si="2"/>
        <v>0</v>
      </c>
      <c r="N17">
        <f t="shared" si="0"/>
        <v>0</v>
      </c>
      <c r="O17" t="str">
        <f t="shared" si="7"/>
        <v/>
      </c>
    </row>
    <row r="18" spans="6:15" x14ac:dyDescent="0.25">
      <c r="F18" t="str">
        <f t="shared" si="3"/>
        <v/>
      </c>
      <c r="I18">
        <f t="shared" si="4"/>
        <v>0</v>
      </c>
      <c r="J18">
        <f t="shared" si="5"/>
        <v>0</v>
      </c>
      <c r="K18" t="str">
        <f t="shared" si="1"/>
        <v>0</v>
      </c>
      <c r="L18">
        <f t="shared" si="6"/>
        <v>0</v>
      </c>
      <c r="M18">
        <f t="shared" si="2"/>
        <v>0</v>
      </c>
      <c r="N18">
        <f t="shared" si="0"/>
        <v>0</v>
      </c>
      <c r="O18" t="str">
        <f t="shared" si="7"/>
        <v/>
      </c>
    </row>
    <row r="19" spans="6:15" x14ac:dyDescent="0.25">
      <c r="I19">
        <f t="shared" si="4"/>
        <v>0</v>
      </c>
      <c r="J19">
        <f t="shared" si="5"/>
        <v>0</v>
      </c>
      <c r="K19" t="str">
        <f t="shared" si="1"/>
        <v>0</v>
      </c>
      <c r="L19">
        <f t="shared" si="6"/>
        <v>0</v>
      </c>
      <c r="M19">
        <f t="shared" si="0"/>
        <v>0</v>
      </c>
      <c r="N19">
        <f t="shared" si="0"/>
        <v>0</v>
      </c>
      <c r="O19" t="str">
        <f t="shared" si="7"/>
        <v/>
      </c>
    </row>
    <row r="20" spans="6:15" x14ac:dyDescent="0.25">
      <c r="I20">
        <f t="shared" si="4"/>
        <v>0</v>
      </c>
      <c r="J20">
        <f t="shared" si="5"/>
        <v>0</v>
      </c>
      <c r="K20" t="str">
        <f t="shared" si="1"/>
        <v>0</v>
      </c>
      <c r="L20">
        <f t="shared" si="6"/>
        <v>0</v>
      </c>
      <c r="M20">
        <f t="shared" si="0"/>
        <v>0</v>
      </c>
      <c r="N20">
        <f t="shared" si="0"/>
        <v>0</v>
      </c>
      <c r="O20" t="str">
        <f t="shared" si="7"/>
        <v/>
      </c>
    </row>
    <row r="21" spans="6:15" x14ac:dyDescent="0.25">
      <c r="I21">
        <f t="shared" si="4"/>
        <v>0</v>
      </c>
      <c r="J21">
        <f t="shared" si="5"/>
        <v>0</v>
      </c>
      <c r="K21" t="str">
        <f t="shared" si="1"/>
        <v>0</v>
      </c>
      <c r="L21">
        <f t="shared" si="6"/>
        <v>0</v>
      </c>
      <c r="M21">
        <f t="shared" si="0"/>
        <v>0</v>
      </c>
      <c r="N21">
        <f t="shared" si="0"/>
        <v>0</v>
      </c>
      <c r="O21" t="str">
        <f t="shared" si="7"/>
        <v/>
      </c>
    </row>
    <row r="22" spans="6:15" x14ac:dyDescent="0.25">
      <c r="I22">
        <f t="shared" si="4"/>
        <v>0</v>
      </c>
      <c r="J22">
        <f t="shared" si="5"/>
        <v>0</v>
      </c>
      <c r="K22" t="str">
        <f t="shared" si="1"/>
        <v>0</v>
      </c>
      <c r="L22">
        <f t="shared" si="6"/>
        <v>0</v>
      </c>
      <c r="M22">
        <f t="shared" si="0"/>
        <v>0</v>
      </c>
      <c r="N22">
        <f t="shared" si="0"/>
        <v>0</v>
      </c>
      <c r="O22" t="str">
        <f t="shared" si="7"/>
        <v/>
      </c>
    </row>
    <row r="23" spans="6:15" x14ac:dyDescent="0.25">
      <c r="I23">
        <f t="shared" si="4"/>
        <v>0</v>
      </c>
      <c r="J23">
        <f t="shared" si="5"/>
        <v>0</v>
      </c>
      <c r="K23" t="str">
        <f t="shared" si="1"/>
        <v>0</v>
      </c>
      <c r="L23">
        <f t="shared" si="6"/>
        <v>0</v>
      </c>
      <c r="M23">
        <f t="shared" si="0"/>
        <v>0</v>
      </c>
      <c r="N23">
        <f t="shared" si="0"/>
        <v>0</v>
      </c>
      <c r="O23" t="str">
        <f t="shared" si="7"/>
        <v/>
      </c>
    </row>
    <row r="24" spans="6:15" x14ac:dyDescent="0.25">
      <c r="I24">
        <f t="shared" si="4"/>
        <v>0</v>
      </c>
      <c r="J24">
        <f t="shared" si="5"/>
        <v>0</v>
      </c>
      <c r="K24" t="str">
        <f t="shared" si="1"/>
        <v>0</v>
      </c>
      <c r="L24">
        <f t="shared" si="6"/>
        <v>0</v>
      </c>
      <c r="M24">
        <f t="shared" si="0"/>
        <v>0</v>
      </c>
      <c r="N24">
        <f t="shared" si="0"/>
        <v>0</v>
      </c>
      <c r="O24" t="str">
        <f t="shared" si="7"/>
        <v/>
      </c>
    </row>
    <row r="25" spans="6:15" x14ac:dyDescent="0.25">
      <c r="I25">
        <f t="shared" si="4"/>
        <v>0</v>
      </c>
      <c r="J25">
        <f t="shared" si="5"/>
        <v>0</v>
      </c>
      <c r="K25" t="str">
        <f t="shared" si="1"/>
        <v>0</v>
      </c>
      <c r="L25">
        <f t="shared" si="6"/>
        <v>0</v>
      </c>
      <c r="M25">
        <f t="shared" si="0"/>
        <v>0</v>
      </c>
      <c r="N25">
        <f t="shared" si="0"/>
        <v>0</v>
      </c>
      <c r="O25" t="str">
        <f t="shared" si="7"/>
        <v/>
      </c>
    </row>
    <row r="26" spans="6:15" x14ac:dyDescent="0.25">
      <c r="I26">
        <f t="shared" si="4"/>
        <v>0</v>
      </c>
      <c r="J26">
        <f t="shared" si="5"/>
        <v>0</v>
      </c>
      <c r="K26" t="str">
        <f t="shared" si="1"/>
        <v>0</v>
      </c>
      <c r="L26">
        <f t="shared" si="6"/>
        <v>0</v>
      </c>
      <c r="M26">
        <f t="shared" si="0"/>
        <v>0</v>
      </c>
      <c r="N26">
        <f t="shared" si="0"/>
        <v>0</v>
      </c>
      <c r="O26" t="str">
        <f t="shared" si="7"/>
        <v/>
      </c>
    </row>
    <row r="27" spans="6:15" x14ac:dyDescent="0.25">
      <c r="I27">
        <f t="shared" si="4"/>
        <v>0</v>
      </c>
      <c r="J27">
        <f t="shared" si="5"/>
        <v>0</v>
      </c>
      <c r="K27" t="str">
        <f t="shared" si="1"/>
        <v>0</v>
      </c>
      <c r="L27">
        <f>K27+0</f>
        <v>0</v>
      </c>
      <c r="M27">
        <f t="shared" si="0"/>
        <v>0</v>
      </c>
      <c r="N27">
        <f t="shared" si="0"/>
        <v>0</v>
      </c>
      <c r="O27" t="str">
        <f t="shared" si="7"/>
        <v/>
      </c>
    </row>
    <row r="28" spans="6:15" x14ac:dyDescent="0.25">
      <c r="I28">
        <f t="shared" si="4"/>
        <v>0</v>
      </c>
      <c r="J28">
        <f t="shared" si="5"/>
        <v>0</v>
      </c>
      <c r="K28" t="str">
        <f t="shared" si="1"/>
        <v>0</v>
      </c>
      <c r="L28">
        <f t="shared" si="6"/>
        <v>0</v>
      </c>
      <c r="M28">
        <f t="shared" si="0"/>
        <v>0</v>
      </c>
      <c r="N28">
        <f t="shared" si="0"/>
        <v>0</v>
      </c>
      <c r="O28" t="str">
        <f t="shared" si="7"/>
        <v/>
      </c>
    </row>
    <row r="29" spans="6:15" x14ac:dyDescent="0.25">
      <c r="I29">
        <f t="shared" si="4"/>
        <v>0</v>
      </c>
      <c r="J29">
        <f t="shared" si="5"/>
        <v>0</v>
      </c>
      <c r="K29" t="str">
        <f t="shared" si="1"/>
        <v>0</v>
      </c>
      <c r="L29">
        <f t="shared" si="6"/>
        <v>0</v>
      </c>
      <c r="M29">
        <f t="shared" si="0"/>
        <v>0</v>
      </c>
      <c r="N29">
        <f t="shared" si="0"/>
        <v>0</v>
      </c>
      <c r="O29" t="str">
        <f t="shared" si="7"/>
        <v/>
      </c>
    </row>
    <row r="30" spans="6:15" x14ac:dyDescent="0.25">
      <c r="I30">
        <f t="shared" si="4"/>
        <v>0</v>
      </c>
      <c r="J30">
        <f t="shared" si="5"/>
        <v>0</v>
      </c>
      <c r="K30" t="str">
        <f t="shared" si="1"/>
        <v>0</v>
      </c>
      <c r="L30">
        <f t="shared" si="6"/>
        <v>0</v>
      </c>
      <c r="M30">
        <f>C30</f>
        <v>0</v>
      </c>
      <c r="N30">
        <f t="shared" si="0"/>
        <v>0</v>
      </c>
      <c r="O30" t="str">
        <f t="shared" si="7"/>
        <v/>
      </c>
    </row>
    <row r="31" spans="6:15" x14ac:dyDescent="0.25">
      <c r="I31">
        <f t="shared" si="4"/>
        <v>0</v>
      </c>
      <c r="J31">
        <f t="shared" si="5"/>
        <v>0</v>
      </c>
      <c r="K31" t="str">
        <f t="shared" si="1"/>
        <v>0</v>
      </c>
      <c r="L31">
        <f t="shared" si="6"/>
        <v>0</v>
      </c>
      <c r="M31">
        <f t="shared" si="0"/>
        <v>0</v>
      </c>
      <c r="N31">
        <f t="shared" si="0"/>
        <v>0</v>
      </c>
      <c r="O31" t="str">
        <f t="shared" si="7"/>
        <v/>
      </c>
    </row>
    <row r="32" spans="6:15" x14ac:dyDescent="0.25">
      <c r="I32">
        <f t="shared" si="4"/>
        <v>0</v>
      </c>
      <c r="J32">
        <f t="shared" si="5"/>
        <v>0</v>
      </c>
      <c r="K32" t="str">
        <f t="shared" si="1"/>
        <v>0</v>
      </c>
      <c r="L32">
        <f t="shared" si="6"/>
        <v>0</v>
      </c>
      <c r="M32">
        <f t="shared" si="0"/>
        <v>0</v>
      </c>
      <c r="N32">
        <f t="shared" si="0"/>
        <v>0</v>
      </c>
      <c r="O32" t="str">
        <f t="shared" si="7"/>
        <v/>
      </c>
    </row>
    <row r="33" spans="9:15" x14ac:dyDescent="0.25">
      <c r="I33">
        <f t="shared" si="4"/>
        <v>0</v>
      </c>
      <c r="J33">
        <f t="shared" si="5"/>
        <v>0</v>
      </c>
      <c r="K33" t="str">
        <f t="shared" si="1"/>
        <v>0</v>
      </c>
      <c r="L33">
        <f t="shared" si="6"/>
        <v>0</v>
      </c>
      <c r="M33">
        <f t="shared" si="0"/>
        <v>0</v>
      </c>
      <c r="N33">
        <f t="shared" si="0"/>
        <v>0</v>
      </c>
      <c r="O33" t="str">
        <f t="shared" si="7"/>
        <v/>
      </c>
    </row>
    <row r="34" spans="9:15" x14ac:dyDescent="0.25">
      <c r="I34">
        <f t="shared" si="4"/>
        <v>0</v>
      </c>
      <c r="J34">
        <f t="shared" si="5"/>
        <v>0</v>
      </c>
      <c r="K34" t="str">
        <f t="shared" si="1"/>
        <v>0</v>
      </c>
      <c r="L34">
        <f t="shared" si="6"/>
        <v>0</v>
      </c>
      <c r="M34">
        <f t="shared" si="0"/>
        <v>0</v>
      </c>
      <c r="N34">
        <f t="shared" si="0"/>
        <v>0</v>
      </c>
      <c r="O34" t="str">
        <f t="shared" si="7"/>
        <v/>
      </c>
    </row>
    <row r="35" spans="9:15" x14ac:dyDescent="0.25">
      <c r="I35">
        <f t="shared" si="4"/>
        <v>0</v>
      </c>
      <c r="J35">
        <f t="shared" si="5"/>
        <v>0</v>
      </c>
      <c r="K35" t="str">
        <f t="shared" si="1"/>
        <v>0</v>
      </c>
      <c r="L35">
        <f t="shared" si="6"/>
        <v>0</v>
      </c>
      <c r="M35">
        <f t="shared" si="0"/>
        <v>0</v>
      </c>
      <c r="N35">
        <f t="shared" si="0"/>
        <v>0</v>
      </c>
      <c r="O35" t="str">
        <f t="shared" si="7"/>
        <v/>
      </c>
    </row>
    <row r="36" spans="9:15" x14ac:dyDescent="0.25">
      <c r="I36">
        <f t="shared" si="4"/>
        <v>0</v>
      </c>
      <c r="J36">
        <f t="shared" si="5"/>
        <v>0</v>
      </c>
      <c r="K36" t="str">
        <f t="shared" si="1"/>
        <v>0</v>
      </c>
      <c r="L36">
        <f t="shared" si="6"/>
        <v>0</v>
      </c>
      <c r="M36">
        <f t="shared" si="0"/>
        <v>0</v>
      </c>
      <c r="N36">
        <f t="shared" si="0"/>
        <v>0</v>
      </c>
      <c r="O36" t="str">
        <f t="shared" si="7"/>
        <v/>
      </c>
    </row>
    <row r="37" spans="9:15" x14ac:dyDescent="0.25">
      <c r="I37">
        <f t="shared" si="4"/>
        <v>0</v>
      </c>
      <c r="J37">
        <f t="shared" si="5"/>
        <v>0</v>
      </c>
      <c r="K37" t="str">
        <f t="shared" si="1"/>
        <v>0</v>
      </c>
      <c r="L37">
        <f t="shared" si="6"/>
        <v>0</v>
      </c>
      <c r="M37">
        <f t="shared" si="0"/>
        <v>0</v>
      </c>
      <c r="N37">
        <f t="shared" si="0"/>
        <v>0</v>
      </c>
      <c r="O37" t="str">
        <f t="shared" si="7"/>
        <v/>
      </c>
    </row>
    <row r="38" spans="9:15" x14ac:dyDescent="0.25">
      <c r="I38">
        <f t="shared" si="4"/>
        <v>0</v>
      </c>
      <c r="J38">
        <f t="shared" si="5"/>
        <v>0</v>
      </c>
      <c r="K38" t="str">
        <f t="shared" si="1"/>
        <v>0</v>
      </c>
      <c r="L38">
        <f t="shared" si="6"/>
        <v>0</v>
      </c>
      <c r="M38">
        <f t="shared" si="0"/>
        <v>0</v>
      </c>
      <c r="N38">
        <f t="shared" si="0"/>
        <v>0</v>
      </c>
      <c r="O38" t="str">
        <f t="shared" si="7"/>
        <v/>
      </c>
    </row>
    <row r="39" spans="9:15" x14ac:dyDescent="0.25">
      <c r="I39">
        <f t="shared" si="4"/>
        <v>0</v>
      </c>
      <c r="J39">
        <f t="shared" si="5"/>
        <v>0</v>
      </c>
      <c r="K39" t="str">
        <f t="shared" si="1"/>
        <v>0</v>
      </c>
      <c r="L39">
        <f t="shared" si="6"/>
        <v>0</v>
      </c>
      <c r="M39">
        <f t="shared" si="0"/>
        <v>0</v>
      </c>
      <c r="N39">
        <f t="shared" si="0"/>
        <v>0</v>
      </c>
      <c r="O39" t="str">
        <f t="shared" si="7"/>
        <v/>
      </c>
    </row>
    <row r="40" spans="9:15" x14ac:dyDescent="0.25">
      <c r="I40">
        <f t="shared" si="4"/>
        <v>0</v>
      </c>
      <c r="J40">
        <f t="shared" si="5"/>
        <v>0</v>
      </c>
      <c r="K40" t="str">
        <f t="shared" si="1"/>
        <v>0</v>
      </c>
      <c r="L40">
        <f t="shared" si="6"/>
        <v>0</v>
      </c>
      <c r="M40">
        <f t="shared" si="0"/>
        <v>0</v>
      </c>
      <c r="N40">
        <f t="shared" si="0"/>
        <v>0</v>
      </c>
      <c r="O40" t="str">
        <f t="shared" si="7"/>
        <v/>
      </c>
    </row>
    <row r="41" spans="9:15" x14ac:dyDescent="0.25">
      <c r="I41">
        <f t="shared" si="4"/>
        <v>0</v>
      </c>
      <c r="J41">
        <f t="shared" si="5"/>
        <v>0</v>
      </c>
      <c r="K41" t="str">
        <f t="shared" si="1"/>
        <v>0</v>
      </c>
      <c r="L41">
        <f t="shared" si="6"/>
        <v>0</v>
      </c>
      <c r="M41">
        <f t="shared" si="0"/>
        <v>0</v>
      </c>
      <c r="N41">
        <f t="shared" si="0"/>
        <v>0</v>
      </c>
      <c r="O41" t="str">
        <f t="shared" si="7"/>
        <v/>
      </c>
    </row>
    <row r="42" spans="9:15" x14ac:dyDescent="0.25">
      <c r="I42">
        <f t="shared" si="4"/>
        <v>0</v>
      </c>
      <c r="J42">
        <f t="shared" si="5"/>
        <v>0</v>
      </c>
      <c r="K42" t="str">
        <f t="shared" si="1"/>
        <v>0</v>
      </c>
      <c r="L42">
        <f t="shared" si="6"/>
        <v>0</v>
      </c>
      <c r="M42">
        <f t="shared" si="0"/>
        <v>0</v>
      </c>
      <c r="N42">
        <f t="shared" si="0"/>
        <v>0</v>
      </c>
      <c r="O42" t="str">
        <f t="shared" si="7"/>
        <v/>
      </c>
    </row>
    <row r="43" spans="9:15" x14ac:dyDescent="0.25">
      <c r="I43">
        <f t="shared" si="4"/>
        <v>0</v>
      </c>
      <c r="J43">
        <f t="shared" si="5"/>
        <v>0</v>
      </c>
      <c r="K43" t="str">
        <f t="shared" si="1"/>
        <v>0</v>
      </c>
      <c r="L43">
        <f t="shared" si="6"/>
        <v>0</v>
      </c>
      <c r="M43">
        <f t="shared" si="0"/>
        <v>0</v>
      </c>
      <c r="N43">
        <f t="shared" si="0"/>
        <v>0</v>
      </c>
      <c r="O43" t="str">
        <f t="shared" si="7"/>
        <v/>
      </c>
    </row>
    <row r="44" spans="9:15" x14ac:dyDescent="0.25">
      <c r="I44">
        <f t="shared" si="4"/>
        <v>0</v>
      </c>
      <c r="J44">
        <f t="shared" si="5"/>
        <v>0</v>
      </c>
      <c r="K44" t="str">
        <f t="shared" si="1"/>
        <v>0</v>
      </c>
      <c r="L44">
        <f t="shared" si="6"/>
        <v>0</v>
      </c>
      <c r="M44">
        <f t="shared" si="0"/>
        <v>0</v>
      </c>
      <c r="N44">
        <f t="shared" si="0"/>
        <v>0</v>
      </c>
      <c r="O44" t="str">
        <f t="shared" si="7"/>
        <v/>
      </c>
    </row>
    <row r="45" spans="9:15" x14ac:dyDescent="0.25">
      <c r="I45">
        <f t="shared" si="4"/>
        <v>0</v>
      </c>
      <c r="J45">
        <f t="shared" si="5"/>
        <v>0</v>
      </c>
      <c r="K45" t="str">
        <f t="shared" si="1"/>
        <v>0</v>
      </c>
      <c r="L45">
        <f t="shared" si="6"/>
        <v>0</v>
      </c>
      <c r="M45">
        <f t="shared" si="0"/>
        <v>0</v>
      </c>
      <c r="N45">
        <f t="shared" si="0"/>
        <v>0</v>
      </c>
      <c r="O45" t="str">
        <f t="shared" si="7"/>
        <v/>
      </c>
    </row>
    <row r="46" spans="9:15" x14ac:dyDescent="0.25">
      <c r="I46">
        <f t="shared" si="4"/>
        <v>0</v>
      </c>
      <c r="J46">
        <f t="shared" si="5"/>
        <v>0</v>
      </c>
      <c r="K46" t="str">
        <f t="shared" si="1"/>
        <v>0</v>
      </c>
      <c r="L46">
        <f t="shared" si="6"/>
        <v>0</v>
      </c>
      <c r="M46">
        <f t="shared" si="0"/>
        <v>0</v>
      </c>
      <c r="N46">
        <f t="shared" si="0"/>
        <v>0</v>
      </c>
      <c r="O46" t="str">
        <f t="shared" si="7"/>
        <v/>
      </c>
    </row>
    <row r="47" spans="9:15" x14ac:dyDescent="0.25">
      <c r="I47">
        <f t="shared" si="4"/>
        <v>0</v>
      </c>
      <c r="J47">
        <f t="shared" si="5"/>
        <v>0</v>
      </c>
      <c r="K47" t="str">
        <f t="shared" si="1"/>
        <v>0</v>
      </c>
      <c r="L47">
        <f t="shared" si="6"/>
        <v>0</v>
      </c>
      <c r="M47">
        <f t="shared" si="0"/>
        <v>0</v>
      </c>
      <c r="N47">
        <f t="shared" si="0"/>
        <v>0</v>
      </c>
      <c r="O47" t="str">
        <f t="shared" si="7"/>
        <v/>
      </c>
    </row>
    <row r="48" spans="9:15" x14ac:dyDescent="0.25">
      <c r="I48">
        <f t="shared" si="4"/>
        <v>0</v>
      </c>
      <c r="J48">
        <f t="shared" si="5"/>
        <v>0</v>
      </c>
      <c r="K48" t="str">
        <f t="shared" si="1"/>
        <v>0</v>
      </c>
      <c r="L48">
        <f t="shared" si="6"/>
        <v>0</v>
      </c>
      <c r="M48">
        <f t="shared" ref="M48:N52" si="8">C48</f>
        <v>0</v>
      </c>
      <c r="N48">
        <f t="shared" si="8"/>
        <v>0</v>
      </c>
      <c r="O48" t="str">
        <f t="shared" si="7"/>
        <v/>
      </c>
    </row>
    <row r="49" spans="9:15" x14ac:dyDescent="0.25">
      <c r="I49">
        <f t="shared" si="4"/>
        <v>0</v>
      </c>
      <c r="J49">
        <f t="shared" si="5"/>
        <v>0</v>
      </c>
      <c r="K49" t="str">
        <f t="shared" si="1"/>
        <v>0</v>
      </c>
      <c r="L49">
        <f t="shared" si="6"/>
        <v>0</v>
      </c>
      <c r="M49">
        <f t="shared" si="8"/>
        <v>0</v>
      </c>
      <c r="N49">
        <f t="shared" si="8"/>
        <v>0</v>
      </c>
      <c r="O49" t="str">
        <f t="shared" si="7"/>
        <v/>
      </c>
    </row>
    <row r="50" spans="9:15" x14ac:dyDescent="0.25">
      <c r="I50">
        <f t="shared" si="4"/>
        <v>0</v>
      </c>
      <c r="J50">
        <f t="shared" si="5"/>
        <v>0</v>
      </c>
      <c r="K50" t="str">
        <f t="shared" si="1"/>
        <v>0</v>
      </c>
      <c r="L50">
        <f t="shared" si="6"/>
        <v>0</v>
      </c>
      <c r="M50">
        <f t="shared" si="8"/>
        <v>0</v>
      </c>
      <c r="N50">
        <f t="shared" si="8"/>
        <v>0</v>
      </c>
      <c r="O50" t="str">
        <f t="shared" si="7"/>
        <v/>
      </c>
    </row>
    <row r="51" spans="9:15" x14ac:dyDescent="0.25">
      <c r="I51">
        <f t="shared" si="4"/>
        <v>0</v>
      </c>
      <c r="J51">
        <f t="shared" si="5"/>
        <v>0</v>
      </c>
      <c r="K51" t="str">
        <f t="shared" si="1"/>
        <v>0</v>
      </c>
      <c r="L51">
        <f t="shared" si="6"/>
        <v>0</v>
      </c>
      <c r="M51">
        <f t="shared" si="8"/>
        <v>0</v>
      </c>
      <c r="N51">
        <f t="shared" si="8"/>
        <v>0</v>
      </c>
      <c r="O51" t="str">
        <f t="shared" si="7"/>
        <v/>
      </c>
    </row>
    <row r="52" spans="9:15" x14ac:dyDescent="0.25">
      <c r="I52">
        <f t="shared" si="4"/>
        <v>0</v>
      </c>
      <c r="J52">
        <f t="shared" si="5"/>
        <v>0</v>
      </c>
      <c r="K52" t="str">
        <f t="shared" si="1"/>
        <v>0</v>
      </c>
      <c r="L52">
        <f t="shared" si="6"/>
        <v>0</v>
      </c>
      <c r="M52">
        <f t="shared" si="8"/>
        <v>0</v>
      </c>
      <c r="N52">
        <f t="shared" si="8"/>
        <v>0</v>
      </c>
      <c r="O52" t="str">
        <f t="shared" si="7"/>
        <v/>
      </c>
    </row>
  </sheetData>
  <pageMargins left="0.7" right="0.7" top="0.75" bottom="0.75" header="0.3" footer="0.3"/>
  <pageSetup paperSize="9" orientation="portrait" horizontalDpi="0" verticalDpi="0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">
    <tabColor rgb="FF82302E"/>
  </sheetPr>
  <dimension ref="A1:JD117"/>
  <sheetViews>
    <sheetView zoomScale="80" zoomScaleNormal="80" workbookViewId="0">
      <selection activeCell="G38" sqref="G38"/>
    </sheetView>
  </sheetViews>
  <sheetFormatPr baseColWidth="10" defaultRowHeight="15" x14ac:dyDescent="0.25"/>
  <cols>
    <col min="1" max="1" width="30.7109375" style="2" customWidth="1"/>
    <col min="2" max="2" width="10.7109375" style="1" customWidth="1"/>
    <col min="3" max="3" width="15.7109375" style="3" customWidth="1"/>
    <col min="4" max="6" width="11.42578125" style="1"/>
    <col min="7" max="7" width="26.42578125" style="1" customWidth="1"/>
    <col min="8" max="10" width="11.42578125" style="1"/>
    <col min="11" max="11" width="29.28515625" style="1" customWidth="1"/>
    <col min="12" max="264" width="11.42578125" style="1"/>
  </cols>
  <sheetData>
    <row r="1" spans="1:264" ht="15" customHeight="1" x14ac:dyDescent="0.5">
      <c r="A1" s="5"/>
    </row>
    <row r="2" spans="1:264" ht="15" customHeight="1" x14ac:dyDescent="0.5">
      <c r="A2" s="5"/>
    </row>
    <row r="16" spans="1:264" x14ac:dyDescent="0.25">
      <c r="C16" s="1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</row>
    <row r="17" spans="2:264" x14ac:dyDescent="0.25">
      <c r="C17" s="1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</row>
    <row r="18" spans="2:264" x14ac:dyDescent="0.25">
      <c r="C18" s="1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</row>
    <row r="19" spans="2:264" x14ac:dyDescent="0.25">
      <c r="C19" s="1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</row>
    <row r="20" spans="2:264" x14ac:dyDescent="0.25">
      <c r="C20" s="1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</row>
    <row r="21" spans="2:264" x14ac:dyDescent="0.25">
      <c r="C21" s="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</row>
    <row r="22" spans="2:264" x14ac:dyDescent="0.25"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</row>
    <row r="23" spans="2:264" x14ac:dyDescent="0.25"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</row>
    <row r="24" spans="2:264" x14ac:dyDescent="0.25">
      <c r="B24" s="63"/>
      <c r="C24" s="63" t="s">
        <v>66</v>
      </c>
      <c r="D24" s="63"/>
      <c r="E24" s="64" t="s">
        <v>66</v>
      </c>
      <c r="F24" s="63"/>
      <c r="G24" s="63"/>
      <c r="H24" s="63"/>
      <c r="I24" s="63"/>
      <c r="J24" s="63"/>
      <c r="K24" s="63"/>
      <c r="L24" s="63"/>
      <c r="M24" s="63"/>
      <c r="N24" s="63"/>
      <c r="O24" s="63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</row>
    <row r="25" spans="2:264" x14ac:dyDescent="0.25">
      <c r="B25" s="63"/>
      <c r="C25" s="65" t="s">
        <v>15</v>
      </c>
      <c r="D25" s="63"/>
      <c r="E25" s="63">
        <v>1</v>
      </c>
      <c r="F25" s="63" t="s">
        <v>70</v>
      </c>
      <c r="G25" s="4" t="s">
        <v>73</v>
      </c>
      <c r="H25" s="63"/>
      <c r="I25" s="63"/>
      <c r="J25" s="63"/>
      <c r="K25" s="63"/>
      <c r="L25" s="63"/>
      <c r="M25" s="63"/>
      <c r="N25" s="63"/>
      <c r="O25" s="63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</row>
    <row r="26" spans="2:264" x14ac:dyDescent="0.25">
      <c r="B26" s="63"/>
      <c r="C26" s="65" t="s">
        <v>16</v>
      </c>
      <c r="D26" s="63"/>
      <c r="E26" s="63">
        <f>E25+1</f>
        <v>2</v>
      </c>
      <c r="F26" s="63" t="s">
        <v>71</v>
      </c>
      <c r="G26" s="4" t="s">
        <v>74</v>
      </c>
      <c r="H26" s="63"/>
      <c r="I26" s="63"/>
      <c r="J26" s="63"/>
      <c r="K26" s="63"/>
      <c r="L26" s="63"/>
      <c r="M26" s="63"/>
      <c r="N26" s="63"/>
      <c r="O26" s="63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</row>
    <row r="27" spans="2:264" x14ac:dyDescent="0.25">
      <c r="B27" s="63"/>
      <c r="C27" s="65" t="s">
        <v>17</v>
      </c>
      <c r="D27" s="63"/>
      <c r="E27" s="63">
        <f t="shared" ref="E27:E75" si="0">E26+1</f>
        <v>3</v>
      </c>
      <c r="F27" s="63"/>
      <c r="G27" s="4" t="s">
        <v>72</v>
      </c>
      <c r="H27" s="63"/>
      <c r="I27" s="63"/>
      <c r="J27" s="63"/>
      <c r="K27" s="63" t="s">
        <v>827</v>
      </c>
      <c r="L27" s="63"/>
      <c r="M27" s="63"/>
      <c r="N27" s="63"/>
      <c r="O27" s="63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</row>
    <row r="28" spans="2:264" x14ac:dyDescent="0.25">
      <c r="B28" s="63"/>
      <c r="C28" s="65" t="s">
        <v>18</v>
      </c>
      <c r="D28" s="63"/>
      <c r="E28" s="63">
        <f t="shared" si="0"/>
        <v>4</v>
      </c>
      <c r="F28" s="63"/>
      <c r="G28" s="4" t="s">
        <v>76</v>
      </c>
      <c r="H28" s="63"/>
      <c r="I28" s="63"/>
      <c r="J28" s="63"/>
      <c r="K28" s="63" t="s">
        <v>820</v>
      </c>
      <c r="L28" s="63"/>
      <c r="M28" s="63"/>
      <c r="N28" s="63"/>
      <c r="O28" s="63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</row>
    <row r="29" spans="2:264" x14ac:dyDescent="0.25">
      <c r="B29" s="63"/>
      <c r="C29" s="65" t="s">
        <v>19</v>
      </c>
      <c r="D29" s="63"/>
      <c r="E29" s="63">
        <f t="shared" si="0"/>
        <v>5</v>
      </c>
      <c r="F29" s="63"/>
      <c r="G29" s="4" t="s">
        <v>788</v>
      </c>
      <c r="H29" s="63"/>
      <c r="I29" s="63"/>
      <c r="J29" s="63"/>
      <c r="K29" s="64" t="s">
        <v>828</v>
      </c>
      <c r="L29" s="63"/>
      <c r="M29" s="63"/>
      <c r="N29" s="63"/>
      <c r="O29" s="63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</row>
    <row r="30" spans="2:264" x14ac:dyDescent="0.25">
      <c r="B30" s="63"/>
      <c r="C30" s="65"/>
      <c r="D30" s="63"/>
      <c r="E30" s="63"/>
      <c r="F30" s="63"/>
      <c r="G30" s="4"/>
      <c r="H30" s="63"/>
      <c r="I30" s="63"/>
      <c r="J30" s="63"/>
      <c r="K30" s="66" t="s">
        <v>835</v>
      </c>
      <c r="L30" s="63"/>
      <c r="M30" s="63"/>
      <c r="N30" s="63"/>
      <c r="O30" s="63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</row>
    <row r="31" spans="2:264" x14ac:dyDescent="0.25">
      <c r="B31" s="63"/>
      <c r="C31" s="65" t="s">
        <v>20</v>
      </c>
      <c r="D31" s="63"/>
      <c r="E31" s="63">
        <f>E29+1</f>
        <v>6</v>
      </c>
      <c r="F31" s="63"/>
      <c r="G31" s="4" t="s">
        <v>789</v>
      </c>
      <c r="H31" s="63"/>
      <c r="I31" s="4" t="s">
        <v>789</v>
      </c>
      <c r="J31" s="63"/>
      <c r="K31" s="11" t="s">
        <v>834</v>
      </c>
      <c r="L31" s="63"/>
      <c r="M31" s="63"/>
      <c r="N31" s="63"/>
      <c r="O31" s="63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</row>
    <row r="32" spans="2:264" x14ac:dyDescent="0.25">
      <c r="B32" s="63"/>
      <c r="C32" s="65" t="s">
        <v>21</v>
      </c>
      <c r="D32" s="63"/>
      <c r="E32" s="63">
        <f t="shared" si="0"/>
        <v>7</v>
      </c>
      <c r="F32" s="63"/>
      <c r="G32" s="4" t="s">
        <v>794</v>
      </c>
      <c r="H32" s="63"/>
      <c r="I32" s="4" t="s">
        <v>794</v>
      </c>
      <c r="J32" s="63"/>
      <c r="K32" s="64" t="s">
        <v>821</v>
      </c>
      <c r="L32" s="63"/>
      <c r="M32" s="63"/>
      <c r="N32" s="63"/>
      <c r="O32" s="63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</row>
    <row r="33" spans="2:264" x14ac:dyDescent="0.25">
      <c r="B33" s="63"/>
      <c r="C33" s="65" t="s">
        <v>22</v>
      </c>
      <c r="D33" s="63"/>
      <c r="E33" s="63">
        <f t="shared" si="0"/>
        <v>8</v>
      </c>
      <c r="F33" s="63"/>
      <c r="G33" s="4"/>
      <c r="H33" s="63"/>
      <c r="I33" s="4" t="s">
        <v>789</v>
      </c>
      <c r="J33" s="63"/>
      <c r="K33" s="64" t="s">
        <v>829</v>
      </c>
      <c r="L33" s="63"/>
      <c r="M33" s="63"/>
      <c r="N33" s="63"/>
      <c r="O33" s="6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</row>
    <row r="34" spans="2:264" x14ac:dyDescent="0.25">
      <c r="B34" s="63"/>
      <c r="C34" s="65" t="s">
        <v>23</v>
      </c>
      <c r="D34" s="63"/>
      <c r="E34" s="63">
        <f t="shared" si="0"/>
        <v>9</v>
      </c>
      <c r="F34" s="63"/>
      <c r="G34" s="63"/>
      <c r="H34" s="63"/>
      <c r="I34" s="63"/>
      <c r="J34" s="63"/>
      <c r="K34" s="64" t="s">
        <v>830</v>
      </c>
      <c r="L34" s="63"/>
      <c r="M34" s="63"/>
      <c r="N34" s="63"/>
      <c r="O34" s="63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</row>
    <row r="35" spans="2:264" x14ac:dyDescent="0.25">
      <c r="B35" s="63"/>
      <c r="C35" s="65" t="s">
        <v>24</v>
      </c>
      <c r="D35" s="63"/>
      <c r="E35" s="63">
        <f t="shared" si="0"/>
        <v>10</v>
      </c>
      <c r="F35" s="63"/>
      <c r="G35" s="63"/>
      <c r="H35" s="63"/>
      <c r="I35" s="63"/>
      <c r="J35" s="63"/>
      <c r="K35" s="64" t="s">
        <v>831</v>
      </c>
      <c r="L35" s="63"/>
      <c r="M35" s="63"/>
      <c r="N35" s="63"/>
      <c r="O35" s="63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</row>
    <row r="36" spans="2:264" x14ac:dyDescent="0.25">
      <c r="B36" s="63"/>
      <c r="C36" s="65" t="s">
        <v>25</v>
      </c>
      <c r="D36" s="63"/>
      <c r="E36" s="63">
        <f t="shared" si="0"/>
        <v>11</v>
      </c>
      <c r="F36" s="63"/>
      <c r="G36" s="63"/>
      <c r="H36" s="63"/>
      <c r="I36" s="63"/>
      <c r="J36" s="63"/>
      <c r="K36" s="64" t="s">
        <v>832</v>
      </c>
      <c r="L36" s="63"/>
      <c r="M36" s="63"/>
      <c r="N36" s="63"/>
      <c r="O36" s="63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</row>
    <row r="37" spans="2:264" x14ac:dyDescent="0.25">
      <c r="B37" s="63"/>
      <c r="C37" s="65" t="s">
        <v>26</v>
      </c>
      <c r="D37" s="63"/>
      <c r="E37" s="63">
        <f t="shared" si="0"/>
        <v>12</v>
      </c>
      <c r="F37" s="63"/>
      <c r="G37" s="63"/>
      <c r="H37" s="63"/>
      <c r="I37" s="63"/>
      <c r="J37" s="63"/>
      <c r="K37" s="64" t="s">
        <v>833</v>
      </c>
      <c r="L37" s="63"/>
      <c r="M37" s="63"/>
      <c r="N37" s="63"/>
      <c r="O37" s="63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</row>
    <row r="38" spans="2:264" x14ac:dyDescent="0.25">
      <c r="B38" s="63"/>
      <c r="C38" s="65" t="s">
        <v>27</v>
      </c>
      <c r="D38" s="63"/>
      <c r="E38" s="63">
        <f t="shared" si="0"/>
        <v>13</v>
      </c>
      <c r="F38" s="63"/>
      <c r="G38" s="63"/>
      <c r="H38" s="63"/>
      <c r="I38" s="63"/>
      <c r="J38" s="63"/>
      <c r="K38" s="63"/>
      <c r="L38" s="63"/>
      <c r="M38" s="63"/>
      <c r="N38" s="63"/>
      <c r="O38" s="63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</row>
    <row r="39" spans="2:264" x14ac:dyDescent="0.25">
      <c r="B39" s="63"/>
      <c r="C39" s="65" t="s">
        <v>28</v>
      </c>
      <c r="D39" s="63"/>
      <c r="E39" s="63">
        <f t="shared" si="0"/>
        <v>14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</row>
    <row r="40" spans="2:264" x14ac:dyDescent="0.25">
      <c r="B40" s="63"/>
      <c r="C40" s="65" t="s">
        <v>29</v>
      </c>
      <c r="D40" s="63"/>
      <c r="E40" s="63">
        <f t="shared" si="0"/>
        <v>15</v>
      </c>
      <c r="F40" s="63"/>
      <c r="G40" s="63"/>
      <c r="H40" s="63"/>
      <c r="I40" s="63"/>
      <c r="J40" s="63"/>
      <c r="K40" s="63"/>
      <c r="L40" s="63"/>
      <c r="M40" s="63"/>
      <c r="N40" s="63"/>
      <c r="O40" s="63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</row>
    <row r="41" spans="2:264" x14ac:dyDescent="0.25">
      <c r="B41" s="63"/>
      <c r="C41" s="65" t="s">
        <v>30</v>
      </c>
      <c r="D41" s="63"/>
      <c r="E41" s="63">
        <f t="shared" si="0"/>
        <v>16</v>
      </c>
      <c r="F41" s="63"/>
      <c r="G41" s="63"/>
      <c r="H41" s="63"/>
      <c r="I41" s="63"/>
      <c r="J41" s="63"/>
      <c r="K41" s="63"/>
      <c r="L41" s="63"/>
      <c r="M41" s="63"/>
      <c r="N41" s="63"/>
      <c r="O41" s="63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</row>
    <row r="42" spans="2:264" x14ac:dyDescent="0.25">
      <c r="B42" s="63"/>
      <c r="C42" s="65" t="s">
        <v>31</v>
      </c>
      <c r="D42" s="63"/>
      <c r="E42" s="63">
        <f t="shared" si="0"/>
        <v>17</v>
      </c>
      <c r="F42" s="63"/>
      <c r="G42" s="63"/>
      <c r="H42" s="63"/>
      <c r="I42" s="63"/>
      <c r="J42" s="63"/>
      <c r="K42" s="63"/>
      <c r="L42" s="63"/>
      <c r="M42" s="63"/>
      <c r="N42" s="63"/>
      <c r="O42" s="63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</row>
    <row r="43" spans="2:264" x14ac:dyDescent="0.25">
      <c r="B43" s="63"/>
      <c r="C43" s="65" t="s">
        <v>32</v>
      </c>
      <c r="D43" s="63"/>
      <c r="E43" s="63">
        <f t="shared" si="0"/>
        <v>18</v>
      </c>
      <c r="F43" s="63"/>
      <c r="G43" s="63"/>
      <c r="H43" s="63"/>
      <c r="I43" s="63"/>
      <c r="J43" s="63"/>
      <c r="K43" s="63"/>
      <c r="L43" s="63"/>
      <c r="M43" s="63"/>
      <c r="N43" s="63"/>
      <c r="O43" s="6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</row>
    <row r="44" spans="2:264" x14ac:dyDescent="0.25">
      <c r="B44" s="63"/>
      <c r="C44" s="65" t="s">
        <v>33</v>
      </c>
      <c r="D44" s="63"/>
      <c r="E44" s="63">
        <f t="shared" si="0"/>
        <v>19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</row>
    <row r="45" spans="2:264" x14ac:dyDescent="0.25">
      <c r="B45" s="63"/>
      <c r="C45" s="65" t="s">
        <v>34</v>
      </c>
      <c r="D45" s="63"/>
      <c r="E45" s="63">
        <f t="shared" si="0"/>
        <v>20</v>
      </c>
      <c r="F45" s="63"/>
      <c r="G45" s="63"/>
      <c r="H45" s="63"/>
      <c r="I45" s="63"/>
      <c r="J45" s="63"/>
      <c r="K45" s="63"/>
      <c r="L45" s="63"/>
      <c r="M45" s="63"/>
      <c r="N45" s="63"/>
      <c r="O45" s="63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</row>
    <row r="46" spans="2:264" x14ac:dyDescent="0.25">
      <c r="B46" s="63"/>
      <c r="C46" s="65" t="s">
        <v>35</v>
      </c>
      <c r="D46" s="63"/>
      <c r="E46" s="63">
        <f t="shared" si="0"/>
        <v>21</v>
      </c>
      <c r="F46" s="63"/>
      <c r="G46" s="63"/>
      <c r="H46" s="63"/>
      <c r="I46" s="63"/>
      <c r="J46" s="63"/>
      <c r="K46" s="63"/>
      <c r="L46" s="63"/>
      <c r="M46" s="63"/>
      <c r="N46" s="63"/>
      <c r="O46" s="63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</row>
    <row r="47" spans="2:264" x14ac:dyDescent="0.25">
      <c r="B47" s="63"/>
      <c r="C47" s="65" t="s">
        <v>36</v>
      </c>
      <c r="D47" s="63"/>
      <c r="E47" s="63">
        <f t="shared" si="0"/>
        <v>22</v>
      </c>
      <c r="F47" s="63"/>
      <c r="G47" s="63"/>
      <c r="H47" s="63"/>
      <c r="I47" s="63"/>
      <c r="J47" s="63"/>
      <c r="K47" s="63"/>
      <c r="L47" s="63"/>
      <c r="M47" s="63"/>
      <c r="N47" s="63"/>
      <c r="O47" s="63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</row>
    <row r="48" spans="2:264" x14ac:dyDescent="0.25">
      <c r="B48" s="63"/>
      <c r="C48" s="65" t="s">
        <v>37</v>
      </c>
      <c r="D48" s="63"/>
      <c r="E48" s="63">
        <f t="shared" si="0"/>
        <v>23</v>
      </c>
      <c r="F48" s="63"/>
      <c r="G48" s="63"/>
      <c r="H48" s="63"/>
      <c r="I48" s="63"/>
      <c r="J48" s="63"/>
      <c r="K48" s="63"/>
      <c r="L48" s="63"/>
      <c r="M48" s="63"/>
      <c r="N48" s="63"/>
      <c r="O48" s="63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</row>
    <row r="49" spans="2:264" x14ac:dyDescent="0.25">
      <c r="B49" s="63"/>
      <c r="C49" s="65" t="s">
        <v>38</v>
      </c>
      <c r="D49" s="63"/>
      <c r="E49" s="63">
        <f t="shared" si="0"/>
        <v>24</v>
      </c>
      <c r="F49" s="63"/>
      <c r="G49" s="63"/>
      <c r="H49" s="63"/>
      <c r="I49" s="63"/>
      <c r="J49" s="63"/>
      <c r="K49" s="63"/>
      <c r="L49" s="63"/>
      <c r="M49" s="63"/>
      <c r="N49" s="63"/>
      <c r="O49" s="63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</row>
    <row r="50" spans="2:264" x14ac:dyDescent="0.25">
      <c r="B50" s="63"/>
      <c r="C50" s="65" t="s">
        <v>39</v>
      </c>
      <c r="D50" s="63"/>
      <c r="E50" s="63">
        <f t="shared" si="0"/>
        <v>25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</row>
    <row r="51" spans="2:264" x14ac:dyDescent="0.25">
      <c r="B51" s="63"/>
      <c r="C51" s="65" t="s">
        <v>40</v>
      </c>
      <c r="D51" s="63"/>
      <c r="E51" s="63">
        <f t="shared" si="0"/>
        <v>26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</row>
    <row r="52" spans="2:264" x14ac:dyDescent="0.25">
      <c r="B52" s="63"/>
      <c r="C52" s="65" t="s">
        <v>41</v>
      </c>
      <c r="D52" s="63"/>
      <c r="E52" s="63">
        <f t="shared" si="0"/>
        <v>27</v>
      </c>
      <c r="F52" s="63"/>
      <c r="G52" s="63"/>
      <c r="H52" s="63"/>
      <c r="I52" s="63"/>
      <c r="J52" s="63"/>
      <c r="K52" s="63"/>
      <c r="L52" s="63"/>
      <c r="M52" s="63"/>
      <c r="N52" s="63"/>
      <c r="O52" s="63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</row>
    <row r="53" spans="2:264" x14ac:dyDescent="0.25">
      <c r="B53" s="63"/>
      <c r="C53" s="65" t="s">
        <v>42</v>
      </c>
      <c r="D53" s="63"/>
      <c r="E53" s="63">
        <f t="shared" si="0"/>
        <v>28</v>
      </c>
      <c r="F53" s="63"/>
      <c r="G53" s="63"/>
      <c r="H53" s="63"/>
      <c r="I53" s="63"/>
      <c r="J53" s="63"/>
      <c r="K53" s="63"/>
      <c r="L53" s="63"/>
      <c r="M53" s="63"/>
      <c r="N53" s="63"/>
      <c r="O53" s="6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</row>
    <row r="54" spans="2:264" x14ac:dyDescent="0.25">
      <c r="B54" s="63"/>
      <c r="C54" s="65" t="s">
        <v>43</v>
      </c>
      <c r="D54" s="63"/>
      <c r="E54" s="63">
        <f t="shared" si="0"/>
        <v>29</v>
      </c>
      <c r="F54" s="63"/>
      <c r="G54" s="63"/>
      <c r="H54" s="63"/>
      <c r="I54" s="63"/>
      <c r="J54" s="63"/>
      <c r="K54" s="63"/>
      <c r="L54" s="63"/>
      <c r="M54" s="63"/>
      <c r="N54" s="63"/>
      <c r="O54" s="63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</row>
    <row r="55" spans="2:264" x14ac:dyDescent="0.25">
      <c r="B55" s="63"/>
      <c r="C55" s="65" t="s">
        <v>44</v>
      </c>
      <c r="D55" s="63"/>
      <c r="E55" s="63">
        <f t="shared" si="0"/>
        <v>30</v>
      </c>
      <c r="F55" s="63"/>
      <c r="G55" s="63"/>
      <c r="H55" s="63"/>
      <c r="I55" s="63"/>
      <c r="J55" s="63"/>
      <c r="K55" s="63"/>
      <c r="L55" s="63"/>
      <c r="M55" s="63"/>
      <c r="N55" s="63"/>
      <c r="O55" s="63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</row>
    <row r="56" spans="2:264" x14ac:dyDescent="0.25">
      <c r="B56" s="63"/>
      <c r="C56" s="65" t="s">
        <v>45</v>
      </c>
      <c r="D56" s="63"/>
      <c r="E56" s="63">
        <f t="shared" si="0"/>
        <v>31</v>
      </c>
      <c r="F56" s="63"/>
      <c r="G56" s="63"/>
      <c r="H56" s="63"/>
      <c r="I56" s="63"/>
      <c r="J56" s="63"/>
      <c r="K56" s="63"/>
      <c r="L56" s="63"/>
      <c r="M56" s="63"/>
      <c r="N56" s="63"/>
      <c r="O56" s="63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</row>
    <row r="57" spans="2:264" x14ac:dyDescent="0.25">
      <c r="B57" s="63"/>
      <c r="C57" s="65" t="s">
        <v>46</v>
      </c>
      <c r="D57" s="63"/>
      <c r="E57" s="63">
        <f t="shared" si="0"/>
        <v>32</v>
      </c>
      <c r="F57" s="63"/>
      <c r="G57" s="63"/>
      <c r="H57" s="63"/>
      <c r="I57" s="63"/>
      <c r="J57" s="63"/>
      <c r="K57" s="63"/>
      <c r="L57" s="63"/>
      <c r="M57" s="63"/>
      <c r="N57" s="63"/>
      <c r="O57" s="63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</row>
    <row r="58" spans="2:264" x14ac:dyDescent="0.25">
      <c r="B58" s="63"/>
      <c r="C58" s="65" t="s">
        <v>47</v>
      </c>
      <c r="D58" s="63"/>
      <c r="E58" s="63">
        <f t="shared" si="0"/>
        <v>33</v>
      </c>
      <c r="F58" s="63"/>
      <c r="G58" s="63"/>
      <c r="H58" s="63"/>
      <c r="I58" s="63"/>
      <c r="J58" s="63"/>
      <c r="K58" s="63"/>
      <c r="L58" s="63"/>
      <c r="M58" s="63"/>
      <c r="N58" s="63"/>
      <c r="O58" s="63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</row>
    <row r="59" spans="2:264" x14ac:dyDescent="0.25">
      <c r="B59" s="63"/>
      <c r="C59" s="65" t="s">
        <v>48</v>
      </c>
      <c r="D59" s="63"/>
      <c r="E59" s="63">
        <f t="shared" si="0"/>
        <v>34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</row>
    <row r="60" spans="2:264" x14ac:dyDescent="0.25">
      <c r="B60" s="63"/>
      <c r="C60" s="65" t="s">
        <v>49</v>
      </c>
      <c r="D60" s="63"/>
      <c r="E60" s="63">
        <f t="shared" si="0"/>
        <v>35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</row>
    <row r="61" spans="2:264" x14ac:dyDescent="0.25">
      <c r="B61" s="63"/>
      <c r="C61" s="65" t="s">
        <v>50</v>
      </c>
      <c r="D61" s="63"/>
      <c r="E61" s="63">
        <f t="shared" si="0"/>
        <v>36</v>
      </c>
      <c r="F61" s="63"/>
      <c r="G61" s="63"/>
      <c r="H61" s="63"/>
      <c r="I61" s="63"/>
      <c r="J61" s="63"/>
      <c r="K61" s="63"/>
      <c r="L61" s="63"/>
      <c r="M61" s="63"/>
      <c r="N61" s="63"/>
      <c r="O61" s="63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</row>
    <row r="62" spans="2:264" x14ac:dyDescent="0.25">
      <c r="B62" s="63"/>
      <c r="C62" s="65" t="s">
        <v>51</v>
      </c>
      <c r="D62" s="63"/>
      <c r="E62" s="63">
        <f t="shared" si="0"/>
        <v>37</v>
      </c>
      <c r="F62" s="63"/>
      <c r="G62" s="63"/>
      <c r="H62" s="63"/>
      <c r="I62" s="63"/>
      <c r="J62" s="63"/>
      <c r="K62" s="63"/>
      <c r="L62" s="63"/>
      <c r="M62" s="63"/>
      <c r="N62" s="63"/>
      <c r="O62" s="63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</row>
    <row r="63" spans="2:264" x14ac:dyDescent="0.25">
      <c r="B63" s="63"/>
      <c r="C63" s="65" t="s">
        <v>52</v>
      </c>
      <c r="D63" s="63"/>
      <c r="E63" s="63">
        <f t="shared" si="0"/>
        <v>38</v>
      </c>
      <c r="F63" s="63"/>
      <c r="G63" s="63"/>
      <c r="H63" s="63"/>
      <c r="I63" s="63"/>
      <c r="J63" s="63"/>
      <c r="K63" s="63"/>
      <c r="L63" s="63"/>
      <c r="M63" s="63"/>
      <c r="N63" s="63"/>
      <c r="O63" s="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</row>
    <row r="64" spans="2:264" x14ac:dyDescent="0.25">
      <c r="B64" s="63"/>
      <c r="C64" s="65" t="s">
        <v>53</v>
      </c>
      <c r="D64" s="63"/>
      <c r="E64" s="63">
        <f t="shared" si="0"/>
        <v>39</v>
      </c>
      <c r="F64" s="63"/>
      <c r="G64" s="63"/>
      <c r="H64" s="63"/>
      <c r="I64" s="63"/>
      <c r="J64" s="63"/>
      <c r="K64" s="63"/>
      <c r="L64" s="63"/>
      <c r="M64" s="63"/>
      <c r="N64" s="63"/>
      <c r="O64" s="63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</row>
    <row r="65" spans="2:264" x14ac:dyDescent="0.25">
      <c r="B65" s="63"/>
      <c r="C65" s="65" t="s">
        <v>54</v>
      </c>
      <c r="D65" s="63"/>
      <c r="E65" s="63">
        <f t="shared" si="0"/>
        <v>40</v>
      </c>
      <c r="F65" s="63"/>
      <c r="G65" s="63"/>
      <c r="H65" s="63"/>
      <c r="I65" s="63"/>
      <c r="J65" s="63"/>
      <c r="K65" s="63"/>
      <c r="L65" s="63"/>
      <c r="M65" s="63"/>
      <c r="N65" s="63"/>
      <c r="O65" s="63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</row>
    <row r="66" spans="2:264" x14ac:dyDescent="0.25">
      <c r="B66" s="63"/>
      <c r="C66" s="65" t="s">
        <v>55</v>
      </c>
      <c r="D66" s="63"/>
      <c r="E66" s="63">
        <f t="shared" si="0"/>
        <v>41</v>
      </c>
      <c r="F66" s="63"/>
      <c r="G66" s="63"/>
      <c r="H66" s="63"/>
      <c r="I66" s="63"/>
      <c r="J66" s="63"/>
      <c r="K66" s="63"/>
      <c r="L66" s="63"/>
      <c r="M66" s="63"/>
      <c r="N66" s="63"/>
      <c r="O66" s="63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</row>
    <row r="67" spans="2:264" x14ac:dyDescent="0.25">
      <c r="B67" s="63"/>
      <c r="C67" s="65" t="s">
        <v>56</v>
      </c>
      <c r="D67" s="63"/>
      <c r="E67" s="63">
        <f t="shared" si="0"/>
        <v>42</v>
      </c>
      <c r="F67" s="63"/>
      <c r="G67" s="63"/>
      <c r="H67" s="63"/>
      <c r="I67" s="63"/>
      <c r="J67" s="63"/>
      <c r="K67" s="63"/>
      <c r="L67" s="63"/>
      <c r="M67" s="63"/>
      <c r="N67" s="63"/>
      <c r="O67" s="63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</row>
    <row r="68" spans="2:264" x14ac:dyDescent="0.25">
      <c r="B68" s="63"/>
      <c r="C68" s="65" t="s">
        <v>57</v>
      </c>
      <c r="D68" s="63"/>
      <c r="E68" s="63">
        <f t="shared" si="0"/>
        <v>43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</row>
    <row r="69" spans="2:264" x14ac:dyDescent="0.25">
      <c r="B69" s="63"/>
      <c r="C69" s="65" t="s">
        <v>58</v>
      </c>
      <c r="D69" s="63"/>
      <c r="E69" s="63">
        <f t="shared" si="0"/>
        <v>44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</row>
    <row r="70" spans="2:264" x14ac:dyDescent="0.25">
      <c r="B70" s="63"/>
      <c r="C70" s="65" t="s">
        <v>59</v>
      </c>
      <c r="D70" s="63"/>
      <c r="E70" s="63">
        <f t="shared" si="0"/>
        <v>45</v>
      </c>
      <c r="F70" s="63"/>
      <c r="G70" s="63"/>
      <c r="H70" s="63"/>
      <c r="I70" s="63"/>
      <c r="J70" s="63"/>
      <c r="K70" s="63"/>
      <c r="L70" s="63"/>
      <c r="M70" s="63"/>
      <c r="N70" s="63"/>
      <c r="O70" s="63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</row>
    <row r="71" spans="2:264" x14ac:dyDescent="0.25">
      <c r="B71" s="63"/>
      <c r="C71" s="65" t="s">
        <v>60</v>
      </c>
      <c r="D71" s="63"/>
      <c r="E71" s="63">
        <f t="shared" si="0"/>
        <v>46</v>
      </c>
      <c r="F71" s="63"/>
      <c r="G71" s="63"/>
      <c r="H71" s="63"/>
      <c r="I71" s="63"/>
      <c r="J71" s="63"/>
      <c r="K71" s="63"/>
      <c r="L71" s="63"/>
      <c r="M71" s="63"/>
      <c r="N71" s="63"/>
      <c r="O71" s="63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</row>
    <row r="72" spans="2:264" x14ac:dyDescent="0.25">
      <c r="B72" s="63"/>
      <c r="C72" s="65" t="s">
        <v>61</v>
      </c>
      <c r="D72" s="63"/>
      <c r="E72" s="63">
        <f t="shared" si="0"/>
        <v>47</v>
      </c>
      <c r="F72" s="63"/>
      <c r="G72" s="63"/>
      <c r="H72" s="63"/>
      <c r="I72" s="63"/>
      <c r="J72" s="63"/>
      <c r="K72" s="63"/>
      <c r="L72" s="63"/>
      <c r="M72" s="63"/>
      <c r="N72" s="63"/>
      <c r="O72" s="63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</row>
    <row r="73" spans="2:264" x14ac:dyDescent="0.25">
      <c r="B73" s="63"/>
      <c r="C73" s="65" t="s">
        <v>62</v>
      </c>
      <c r="D73" s="63"/>
      <c r="E73" s="63">
        <f t="shared" si="0"/>
        <v>48</v>
      </c>
      <c r="F73" s="63"/>
      <c r="G73" s="63"/>
      <c r="H73" s="63"/>
      <c r="I73" s="63"/>
      <c r="J73" s="63"/>
      <c r="K73" s="63"/>
      <c r="L73" s="63"/>
      <c r="M73" s="63"/>
      <c r="N73" s="63"/>
      <c r="O73" s="6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</row>
    <row r="74" spans="2:264" x14ac:dyDescent="0.25">
      <c r="B74" s="63"/>
      <c r="C74" s="65" t="s">
        <v>63</v>
      </c>
      <c r="D74" s="63"/>
      <c r="E74" s="63">
        <f t="shared" si="0"/>
        <v>49</v>
      </c>
      <c r="F74" s="63"/>
      <c r="G74" s="63"/>
      <c r="H74" s="63"/>
      <c r="I74" s="63"/>
      <c r="J74" s="63"/>
      <c r="K74" s="63"/>
      <c r="L74" s="63"/>
      <c r="M74" s="63"/>
      <c r="N74" s="63"/>
      <c r="O74" s="63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</row>
    <row r="75" spans="2:264" x14ac:dyDescent="0.25">
      <c r="B75" s="63"/>
      <c r="C75" s="65" t="s">
        <v>64</v>
      </c>
      <c r="D75" s="63"/>
      <c r="E75" s="63">
        <f t="shared" si="0"/>
        <v>50</v>
      </c>
      <c r="F75" s="63"/>
      <c r="G75" s="63"/>
      <c r="H75" s="63"/>
      <c r="I75" s="63"/>
      <c r="J75" s="63"/>
      <c r="K75" s="63"/>
      <c r="L75" s="63"/>
      <c r="M75" s="63"/>
      <c r="N75" s="63"/>
      <c r="O75" s="63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</row>
    <row r="76" spans="2:264" x14ac:dyDescent="0.25"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</row>
    <row r="77" spans="2:264" x14ac:dyDescent="0.25"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</row>
    <row r="78" spans="2:264" x14ac:dyDescent="0.25"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</row>
    <row r="79" spans="2:264" x14ac:dyDescent="0.25"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</row>
    <row r="80" spans="2:264" x14ac:dyDescent="0.25"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</row>
    <row r="81" spans="2:264" x14ac:dyDescent="0.25"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</row>
    <row r="82" spans="2:264" x14ac:dyDescent="0.25"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</row>
    <row r="83" spans="2:264" x14ac:dyDescent="0.25"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</row>
    <row r="84" spans="2:264" x14ac:dyDescent="0.25"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</row>
    <row r="85" spans="2:264" x14ac:dyDescent="0.25"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</row>
    <row r="86" spans="2:264" x14ac:dyDescent="0.25"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</row>
    <row r="87" spans="2:264" x14ac:dyDescent="0.25"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</row>
    <row r="88" spans="2:264" x14ac:dyDescent="0.25"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</row>
    <row r="89" spans="2:264" x14ac:dyDescent="0.25"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</row>
    <row r="90" spans="2:264" x14ac:dyDescent="0.25"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</row>
    <row r="91" spans="2:264" x14ac:dyDescent="0.25"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</row>
    <row r="92" spans="2:264" x14ac:dyDescent="0.25"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</row>
    <row r="93" spans="2:264" x14ac:dyDescent="0.25"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</row>
    <row r="94" spans="2:264" x14ac:dyDescent="0.25"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</row>
    <row r="95" spans="2:264" x14ac:dyDescent="0.25"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</row>
    <row r="96" spans="2:264" x14ac:dyDescent="0.25"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</row>
    <row r="97" spans="2:264" x14ac:dyDescent="0.25"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</row>
    <row r="98" spans="2:264" x14ac:dyDescent="0.25"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</row>
    <row r="99" spans="2:264" x14ac:dyDescent="0.25"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</row>
    <row r="100" spans="2:264" x14ac:dyDescent="0.25"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</row>
    <row r="101" spans="2:264" x14ac:dyDescent="0.25"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</row>
    <row r="102" spans="2:264" x14ac:dyDescent="0.25"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</row>
    <row r="103" spans="2:264" x14ac:dyDescent="0.25"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</row>
    <row r="104" spans="2:264" x14ac:dyDescent="0.25"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</row>
    <row r="105" spans="2:264" x14ac:dyDescent="0.25"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</row>
    <row r="106" spans="2:264" x14ac:dyDescent="0.25"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</row>
    <row r="107" spans="2:264" x14ac:dyDescent="0.25"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</row>
    <row r="108" spans="2:264" x14ac:dyDescent="0.25"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</row>
    <row r="109" spans="2:264" x14ac:dyDescent="0.25"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</row>
    <row r="110" spans="2:264" x14ac:dyDescent="0.25"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</row>
    <row r="111" spans="2:264" x14ac:dyDescent="0.25"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</row>
    <row r="112" spans="2:264" x14ac:dyDescent="0.25">
      <c r="C112" s="1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</row>
    <row r="113" spans="3:264" x14ac:dyDescent="0.25">
      <c r="C113" s="1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</row>
    <row r="114" spans="3:264" x14ac:dyDescent="0.25">
      <c r="C114" s="1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</row>
    <row r="115" spans="3:264" x14ac:dyDescent="0.25">
      <c r="C115" s="1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</row>
    <row r="116" spans="3:264" x14ac:dyDescent="0.25">
      <c r="C116" s="1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</row>
    <row r="117" spans="3:264" x14ac:dyDescent="0.25">
      <c r="C117" s="1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</row>
  </sheetData>
  <phoneticPr fontId="21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rgb="FF82302E"/>
  </sheetPr>
  <dimension ref="A1:G958"/>
  <sheetViews>
    <sheetView zoomScale="80" zoomScaleNormal="80" workbookViewId="0">
      <selection activeCell="A3" sqref="A3:C3"/>
    </sheetView>
  </sheetViews>
  <sheetFormatPr baseColWidth="10" defaultRowHeight="15" x14ac:dyDescent="0.25"/>
  <cols>
    <col min="1" max="1" width="35.7109375" style="37" customWidth="1"/>
    <col min="2" max="2" width="35.7109375" style="40" customWidth="1"/>
    <col min="3" max="3" width="35.7109375" style="41" customWidth="1"/>
    <col min="4" max="4" width="11.42578125" style="6"/>
    <col min="5" max="6" width="35.7109375" style="36" customWidth="1"/>
    <col min="7" max="16384" width="11.42578125" style="6"/>
  </cols>
  <sheetData>
    <row r="1" spans="1:7" x14ac:dyDescent="0.25">
      <c r="A1" s="213" t="s">
        <v>800</v>
      </c>
      <c r="B1" s="214"/>
      <c r="C1" s="215"/>
      <c r="E1" s="56" t="s">
        <v>811</v>
      </c>
      <c r="F1" s="57" t="s">
        <v>13</v>
      </c>
      <c r="G1" s="58" t="s">
        <v>812</v>
      </c>
    </row>
    <row r="2" spans="1:7" x14ac:dyDescent="0.25">
      <c r="A2" s="44"/>
      <c r="B2" s="45"/>
      <c r="C2" s="45"/>
      <c r="E2" s="43"/>
      <c r="G2" s="36"/>
    </row>
    <row r="3" spans="1:7" x14ac:dyDescent="0.25">
      <c r="A3" s="44" t="s">
        <v>845</v>
      </c>
      <c r="B3" s="45">
        <v>123456789101</v>
      </c>
      <c r="C3" s="45">
        <v>2321492745</v>
      </c>
      <c r="E3" s="43"/>
      <c r="G3" s="36"/>
    </row>
    <row r="4" spans="1:7" x14ac:dyDescent="0.25">
      <c r="A4" s="44"/>
      <c r="B4" s="45"/>
      <c r="C4" s="45"/>
      <c r="E4" s="43"/>
      <c r="G4" s="36"/>
    </row>
    <row r="5" spans="1:7" x14ac:dyDescent="0.25">
      <c r="A5" s="44"/>
      <c r="B5" s="45"/>
      <c r="C5" s="45"/>
      <c r="E5" s="43"/>
      <c r="G5" s="36"/>
    </row>
    <row r="6" spans="1:7" x14ac:dyDescent="0.25">
      <c r="A6" s="44"/>
      <c r="B6" s="45"/>
      <c r="C6" s="45"/>
      <c r="E6" s="43"/>
      <c r="G6" s="36"/>
    </row>
    <row r="7" spans="1:7" x14ac:dyDescent="0.25">
      <c r="E7" s="46"/>
      <c r="F7" s="59"/>
      <c r="G7" s="36"/>
    </row>
    <row r="8" spans="1:7" x14ac:dyDescent="0.25">
      <c r="A8" s="42"/>
      <c r="B8" s="42"/>
      <c r="C8" s="42"/>
      <c r="E8" s="46"/>
      <c r="F8" s="59"/>
      <c r="G8" s="36"/>
    </row>
    <row r="9" spans="1:7" x14ac:dyDescent="0.25">
      <c r="G9" s="36"/>
    </row>
    <row r="10" spans="1:7" x14ac:dyDescent="0.25">
      <c r="A10" s="36"/>
      <c r="B10" s="36"/>
      <c r="C10" s="36"/>
      <c r="G10" s="36"/>
    </row>
    <row r="11" spans="1:7" x14ac:dyDescent="0.25">
      <c r="A11" s="36"/>
      <c r="B11" s="44"/>
      <c r="C11" s="45"/>
      <c r="G11" s="36"/>
    </row>
    <row r="12" spans="1:7" x14ac:dyDescent="0.25">
      <c r="A12" s="36"/>
      <c r="B12" s="36"/>
      <c r="C12" s="36"/>
      <c r="G12" s="36"/>
    </row>
    <row r="13" spans="1:7" x14ac:dyDescent="0.25">
      <c r="A13" s="36"/>
      <c r="B13" s="36"/>
      <c r="C13" s="36"/>
      <c r="G13" s="36"/>
    </row>
    <row r="14" spans="1:7" x14ac:dyDescent="0.25">
      <c r="A14" s="36"/>
      <c r="B14" s="36"/>
      <c r="C14" s="36"/>
      <c r="G14" s="36"/>
    </row>
    <row r="15" spans="1:7" x14ac:dyDescent="0.25">
      <c r="A15" s="36"/>
      <c r="B15" s="36"/>
      <c r="C15" s="36"/>
      <c r="G15" s="36"/>
    </row>
    <row r="16" spans="1:7" x14ac:dyDescent="0.25">
      <c r="A16" s="36"/>
      <c r="B16" s="36"/>
      <c r="C16" s="36"/>
      <c r="G16" s="36"/>
    </row>
    <row r="17" spans="1:7" x14ac:dyDescent="0.25">
      <c r="A17" s="36"/>
      <c r="B17" s="36"/>
      <c r="C17" s="36"/>
      <c r="G17" s="36"/>
    </row>
    <row r="18" spans="1:7" x14ac:dyDescent="0.25">
      <c r="A18" s="36"/>
      <c r="B18" s="36"/>
      <c r="C18" s="36"/>
      <c r="G18" s="36"/>
    </row>
    <row r="19" spans="1:7" x14ac:dyDescent="0.25">
      <c r="A19" s="36"/>
      <c r="B19" s="36"/>
      <c r="C19" s="36"/>
      <c r="G19" s="36"/>
    </row>
    <row r="20" spans="1:7" x14ac:dyDescent="0.25">
      <c r="A20" s="36"/>
      <c r="B20" s="36"/>
      <c r="C20" s="36"/>
      <c r="G20" s="36"/>
    </row>
    <row r="21" spans="1:7" ht="16.5" customHeight="1" x14ac:dyDescent="0.25">
      <c r="A21" s="36"/>
      <c r="B21" s="36"/>
      <c r="C21" s="36"/>
      <c r="G21" s="36"/>
    </row>
    <row r="22" spans="1:7" ht="16.5" customHeight="1" x14ac:dyDescent="0.25">
      <c r="A22" s="36"/>
      <c r="B22" s="36"/>
      <c r="C22" s="36"/>
      <c r="G22" s="36"/>
    </row>
    <row r="23" spans="1:7" ht="16.5" customHeight="1" x14ac:dyDescent="0.25">
      <c r="B23" s="38"/>
      <c r="C23" s="39"/>
      <c r="G23" s="36"/>
    </row>
    <row r="24" spans="1:7" ht="15.75" customHeight="1" x14ac:dyDescent="0.25">
      <c r="G24" s="36"/>
    </row>
    <row r="25" spans="1:7" ht="16.5" customHeight="1" x14ac:dyDescent="0.25">
      <c r="G25" s="36"/>
    </row>
    <row r="26" spans="1:7" x14ac:dyDescent="0.25">
      <c r="G26" s="36"/>
    </row>
    <row r="27" spans="1:7" x14ac:dyDescent="0.25">
      <c r="G27" s="36"/>
    </row>
    <row r="28" spans="1:7" x14ac:dyDescent="0.25">
      <c r="G28" s="36"/>
    </row>
    <row r="29" spans="1:7" x14ac:dyDescent="0.25">
      <c r="G29" s="36"/>
    </row>
    <row r="30" spans="1:7" x14ac:dyDescent="0.25">
      <c r="G30" s="36"/>
    </row>
    <row r="31" spans="1:7" x14ac:dyDescent="0.25">
      <c r="G31" s="36"/>
    </row>
    <row r="32" spans="1:7" x14ac:dyDescent="0.25">
      <c r="G32" s="36"/>
    </row>
    <row r="33" spans="7:7" x14ac:dyDescent="0.25">
      <c r="G33" s="36"/>
    </row>
    <row r="34" spans="7:7" x14ac:dyDescent="0.25">
      <c r="G34" s="36"/>
    </row>
    <row r="35" spans="7:7" x14ac:dyDescent="0.25">
      <c r="G35" s="36"/>
    </row>
    <row r="36" spans="7:7" x14ac:dyDescent="0.25">
      <c r="G36" s="36"/>
    </row>
    <row r="37" spans="7:7" x14ac:dyDescent="0.25">
      <c r="G37" s="36"/>
    </row>
    <row r="38" spans="7:7" x14ac:dyDescent="0.25">
      <c r="G38" s="36"/>
    </row>
    <row r="39" spans="7:7" x14ac:dyDescent="0.25">
      <c r="G39" s="36"/>
    </row>
    <row r="40" spans="7:7" x14ac:dyDescent="0.25">
      <c r="G40" s="36"/>
    </row>
    <row r="41" spans="7:7" x14ac:dyDescent="0.25">
      <c r="G41" s="36"/>
    </row>
    <row r="42" spans="7:7" x14ac:dyDescent="0.25">
      <c r="G42" s="36"/>
    </row>
    <row r="43" spans="7:7" x14ac:dyDescent="0.25">
      <c r="G43" s="36"/>
    </row>
    <row r="44" spans="7:7" x14ac:dyDescent="0.25">
      <c r="G44" s="36"/>
    </row>
    <row r="45" spans="7:7" x14ac:dyDescent="0.25">
      <c r="G45" s="36"/>
    </row>
    <row r="46" spans="7:7" x14ac:dyDescent="0.25">
      <c r="G46" s="36"/>
    </row>
    <row r="47" spans="7:7" x14ac:dyDescent="0.25">
      <c r="G47" s="36"/>
    </row>
    <row r="48" spans="7:7" x14ac:dyDescent="0.25">
      <c r="G48" s="36"/>
    </row>
    <row r="49" spans="7:7" x14ac:dyDescent="0.25">
      <c r="G49" s="36"/>
    </row>
    <row r="50" spans="7:7" x14ac:dyDescent="0.25">
      <c r="G50" s="36"/>
    </row>
    <row r="51" spans="7:7" x14ac:dyDescent="0.25">
      <c r="G51" s="36"/>
    </row>
    <row r="52" spans="7:7" x14ac:dyDescent="0.25">
      <c r="G52" s="36"/>
    </row>
    <row r="53" spans="7:7" x14ac:dyDescent="0.25">
      <c r="G53" s="36"/>
    </row>
    <row r="54" spans="7:7" x14ac:dyDescent="0.25">
      <c r="G54" s="36"/>
    </row>
    <row r="55" spans="7:7" x14ac:dyDescent="0.25">
      <c r="G55" s="36"/>
    </row>
    <row r="56" spans="7:7" x14ac:dyDescent="0.25">
      <c r="G56" s="36"/>
    </row>
    <row r="57" spans="7:7" x14ac:dyDescent="0.25">
      <c r="G57" s="36"/>
    </row>
    <row r="58" spans="7:7" x14ac:dyDescent="0.25">
      <c r="G58" s="36"/>
    </row>
    <row r="59" spans="7:7" x14ac:dyDescent="0.25">
      <c r="G59" s="36"/>
    </row>
    <row r="60" spans="7:7" x14ac:dyDescent="0.25">
      <c r="G60" s="36"/>
    </row>
    <row r="61" spans="7:7" x14ac:dyDescent="0.25">
      <c r="G61" s="36"/>
    </row>
    <row r="62" spans="7:7" x14ac:dyDescent="0.25">
      <c r="G62" s="36"/>
    </row>
    <row r="63" spans="7:7" x14ac:dyDescent="0.25">
      <c r="G63" s="36"/>
    </row>
    <row r="64" spans="7:7" x14ac:dyDescent="0.25">
      <c r="G64" s="36"/>
    </row>
    <row r="65" spans="7:7" x14ac:dyDescent="0.25">
      <c r="G65" s="36"/>
    </row>
    <row r="66" spans="7:7" x14ac:dyDescent="0.25">
      <c r="G66" s="36"/>
    </row>
    <row r="67" spans="7:7" x14ac:dyDescent="0.25">
      <c r="G67" s="36"/>
    </row>
    <row r="68" spans="7:7" x14ac:dyDescent="0.25">
      <c r="G68" s="36"/>
    </row>
    <row r="69" spans="7:7" x14ac:dyDescent="0.25">
      <c r="G69" s="36"/>
    </row>
    <row r="70" spans="7:7" x14ac:dyDescent="0.25">
      <c r="G70" s="36"/>
    </row>
    <row r="71" spans="7:7" x14ac:dyDescent="0.25">
      <c r="G71" s="36"/>
    </row>
    <row r="72" spans="7:7" x14ac:dyDescent="0.25">
      <c r="G72" s="36"/>
    </row>
    <row r="73" spans="7:7" x14ac:dyDescent="0.25">
      <c r="G73" s="36"/>
    </row>
    <row r="74" spans="7:7" x14ac:dyDescent="0.25">
      <c r="G74" s="36"/>
    </row>
    <row r="75" spans="7:7" x14ac:dyDescent="0.25">
      <c r="G75" s="36"/>
    </row>
    <row r="76" spans="7:7" x14ac:dyDescent="0.25">
      <c r="G76" s="36"/>
    </row>
    <row r="77" spans="7:7" x14ac:dyDescent="0.25">
      <c r="G77" s="36"/>
    </row>
    <row r="78" spans="7:7" x14ac:dyDescent="0.25">
      <c r="G78" s="36"/>
    </row>
    <row r="79" spans="7:7" x14ac:dyDescent="0.25">
      <c r="G79" s="36"/>
    </row>
    <row r="80" spans="7:7" x14ac:dyDescent="0.25">
      <c r="G80" s="36"/>
    </row>
    <row r="81" spans="7:7" x14ac:dyDescent="0.25">
      <c r="G81" s="36"/>
    </row>
    <row r="82" spans="7:7" x14ac:dyDescent="0.25">
      <c r="G82" s="36"/>
    </row>
    <row r="83" spans="7:7" x14ac:dyDescent="0.25">
      <c r="G83" s="36"/>
    </row>
    <row r="84" spans="7:7" x14ac:dyDescent="0.25">
      <c r="G84" s="36"/>
    </row>
    <row r="85" spans="7:7" x14ac:dyDescent="0.25">
      <c r="G85" s="36"/>
    </row>
    <row r="86" spans="7:7" x14ac:dyDescent="0.25">
      <c r="G86" s="36"/>
    </row>
    <row r="87" spans="7:7" x14ac:dyDescent="0.25">
      <c r="G87" s="36"/>
    </row>
    <row r="88" spans="7:7" x14ac:dyDescent="0.25">
      <c r="G88" s="36"/>
    </row>
    <row r="89" spans="7:7" x14ac:dyDescent="0.25">
      <c r="G89" s="36"/>
    </row>
    <row r="90" spans="7:7" x14ac:dyDescent="0.25">
      <c r="G90" s="36"/>
    </row>
    <row r="91" spans="7:7" x14ac:dyDescent="0.25">
      <c r="G91" s="36"/>
    </row>
    <row r="92" spans="7:7" x14ac:dyDescent="0.25">
      <c r="G92" s="36"/>
    </row>
    <row r="93" spans="7:7" x14ac:dyDescent="0.25">
      <c r="G93" s="36"/>
    </row>
    <row r="94" spans="7:7" x14ac:dyDescent="0.25">
      <c r="G94" s="36"/>
    </row>
    <row r="95" spans="7:7" x14ac:dyDescent="0.25">
      <c r="G95" s="36"/>
    </row>
    <row r="96" spans="7:7" x14ac:dyDescent="0.25">
      <c r="G96" s="36"/>
    </row>
    <row r="97" spans="7:7" x14ac:dyDescent="0.25">
      <c r="G97" s="36"/>
    </row>
    <row r="98" spans="7:7" x14ac:dyDescent="0.25">
      <c r="G98" s="36"/>
    </row>
    <row r="99" spans="7:7" x14ac:dyDescent="0.25">
      <c r="G99" s="36"/>
    </row>
    <row r="100" spans="7:7" x14ac:dyDescent="0.25">
      <c r="G100" s="36"/>
    </row>
    <row r="101" spans="7:7" x14ac:dyDescent="0.25">
      <c r="G101" s="36"/>
    </row>
    <row r="102" spans="7:7" x14ac:dyDescent="0.25">
      <c r="G102" s="36"/>
    </row>
    <row r="103" spans="7:7" x14ac:dyDescent="0.25">
      <c r="G103" s="36"/>
    </row>
    <row r="104" spans="7:7" x14ac:dyDescent="0.25">
      <c r="G104" s="36"/>
    </row>
    <row r="105" spans="7:7" x14ac:dyDescent="0.25">
      <c r="G105" s="36"/>
    </row>
    <row r="106" spans="7:7" x14ac:dyDescent="0.25">
      <c r="G106" s="36"/>
    </row>
    <row r="107" spans="7:7" x14ac:dyDescent="0.25">
      <c r="G107" s="36"/>
    </row>
    <row r="108" spans="7:7" x14ac:dyDescent="0.25">
      <c r="G108" s="36"/>
    </row>
    <row r="109" spans="7:7" x14ac:dyDescent="0.25">
      <c r="G109" s="36"/>
    </row>
    <row r="110" spans="7:7" x14ac:dyDescent="0.25">
      <c r="G110" s="36"/>
    </row>
    <row r="111" spans="7:7" x14ac:dyDescent="0.25">
      <c r="G111" s="36"/>
    </row>
    <row r="112" spans="7:7" x14ac:dyDescent="0.25">
      <c r="G112" s="36"/>
    </row>
    <row r="113" spans="7:7" x14ac:dyDescent="0.25">
      <c r="G113" s="36"/>
    </row>
    <row r="114" spans="7:7" x14ac:dyDescent="0.25">
      <c r="G114" s="36"/>
    </row>
    <row r="115" spans="7:7" x14ac:dyDescent="0.25">
      <c r="G115" s="36"/>
    </row>
    <row r="116" spans="7:7" x14ac:dyDescent="0.25">
      <c r="G116" s="36"/>
    </row>
    <row r="117" spans="7:7" x14ac:dyDescent="0.25">
      <c r="G117" s="36"/>
    </row>
    <row r="118" spans="7:7" x14ac:dyDescent="0.25">
      <c r="G118" s="36"/>
    </row>
    <row r="119" spans="7:7" x14ac:dyDescent="0.25">
      <c r="G119" s="36"/>
    </row>
    <row r="120" spans="7:7" x14ac:dyDescent="0.25">
      <c r="G120" s="36"/>
    </row>
    <row r="121" spans="7:7" x14ac:dyDescent="0.25">
      <c r="G121" s="36"/>
    </row>
    <row r="122" spans="7:7" x14ac:dyDescent="0.25">
      <c r="G122" s="36"/>
    </row>
    <row r="123" spans="7:7" x14ac:dyDescent="0.25">
      <c r="G123" s="36"/>
    </row>
    <row r="124" spans="7:7" x14ac:dyDescent="0.25">
      <c r="G124" s="36"/>
    </row>
    <row r="125" spans="7:7" x14ac:dyDescent="0.25">
      <c r="G125" s="36"/>
    </row>
    <row r="126" spans="7:7" x14ac:dyDescent="0.25">
      <c r="G126" s="36"/>
    </row>
    <row r="127" spans="7:7" x14ac:dyDescent="0.25">
      <c r="G127" s="36"/>
    </row>
    <row r="128" spans="7:7" x14ac:dyDescent="0.25">
      <c r="G128" s="36"/>
    </row>
    <row r="129" spans="7:7" x14ac:dyDescent="0.25">
      <c r="G129" s="36"/>
    </row>
    <row r="130" spans="7:7" x14ac:dyDescent="0.25">
      <c r="G130" s="36"/>
    </row>
    <row r="131" spans="7:7" x14ac:dyDescent="0.25">
      <c r="G131" s="36"/>
    </row>
    <row r="132" spans="7:7" x14ac:dyDescent="0.25">
      <c r="G132" s="36"/>
    </row>
    <row r="133" spans="7:7" x14ac:dyDescent="0.25">
      <c r="G133" s="36"/>
    </row>
    <row r="134" spans="7:7" x14ac:dyDescent="0.25">
      <c r="G134" s="36"/>
    </row>
    <row r="135" spans="7:7" x14ac:dyDescent="0.25">
      <c r="G135" s="36"/>
    </row>
    <row r="136" spans="7:7" x14ac:dyDescent="0.25">
      <c r="G136" s="36"/>
    </row>
    <row r="137" spans="7:7" x14ac:dyDescent="0.25">
      <c r="G137" s="36"/>
    </row>
    <row r="138" spans="7:7" x14ac:dyDescent="0.25">
      <c r="G138" s="36"/>
    </row>
    <row r="139" spans="7:7" x14ac:dyDescent="0.25">
      <c r="G139" s="36"/>
    </row>
    <row r="140" spans="7:7" x14ac:dyDescent="0.25">
      <c r="G140" s="36"/>
    </row>
    <row r="141" spans="7:7" x14ac:dyDescent="0.25">
      <c r="G141" s="36"/>
    </row>
    <row r="142" spans="7:7" x14ac:dyDescent="0.25">
      <c r="G142" s="36"/>
    </row>
    <row r="143" spans="7:7" x14ac:dyDescent="0.25">
      <c r="G143" s="36"/>
    </row>
    <row r="144" spans="7:7" x14ac:dyDescent="0.25">
      <c r="G144" s="36"/>
    </row>
    <row r="145" spans="7:7" x14ac:dyDescent="0.25">
      <c r="G145" s="36"/>
    </row>
    <row r="146" spans="7:7" x14ac:dyDescent="0.25">
      <c r="G146" s="36"/>
    </row>
    <row r="147" spans="7:7" x14ac:dyDescent="0.25">
      <c r="G147" s="36"/>
    </row>
    <row r="148" spans="7:7" x14ac:dyDescent="0.25">
      <c r="G148" s="36"/>
    </row>
    <row r="149" spans="7:7" x14ac:dyDescent="0.25">
      <c r="G149" s="36"/>
    </row>
    <row r="150" spans="7:7" x14ac:dyDescent="0.25">
      <c r="G150" s="36"/>
    </row>
    <row r="151" spans="7:7" x14ac:dyDescent="0.25">
      <c r="G151" s="36"/>
    </row>
    <row r="152" spans="7:7" x14ac:dyDescent="0.25">
      <c r="G152" s="36"/>
    </row>
    <row r="153" spans="7:7" x14ac:dyDescent="0.25">
      <c r="G153" s="36"/>
    </row>
    <row r="154" spans="7:7" x14ac:dyDescent="0.25">
      <c r="G154" s="36"/>
    </row>
    <row r="155" spans="7:7" x14ac:dyDescent="0.25">
      <c r="G155" s="36"/>
    </row>
    <row r="156" spans="7:7" x14ac:dyDescent="0.25">
      <c r="G156" s="36"/>
    </row>
    <row r="157" spans="7:7" x14ac:dyDescent="0.25">
      <c r="G157" s="36"/>
    </row>
    <row r="158" spans="7:7" x14ac:dyDescent="0.25">
      <c r="G158" s="36"/>
    </row>
    <row r="159" spans="7:7" x14ac:dyDescent="0.25">
      <c r="G159" s="36"/>
    </row>
    <row r="160" spans="7:7" x14ac:dyDescent="0.25">
      <c r="G160" s="36"/>
    </row>
    <row r="161" spans="7:7" x14ac:dyDescent="0.25">
      <c r="G161" s="36"/>
    </row>
    <row r="162" spans="7:7" x14ac:dyDescent="0.25">
      <c r="G162" s="36"/>
    </row>
    <row r="163" spans="7:7" x14ac:dyDescent="0.25">
      <c r="G163" s="36"/>
    </row>
    <row r="164" spans="7:7" x14ac:dyDescent="0.25">
      <c r="G164" s="36"/>
    </row>
    <row r="165" spans="7:7" x14ac:dyDescent="0.25">
      <c r="G165" s="36"/>
    </row>
    <row r="166" spans="7:7" x14ac:dyDescent="0.25">
      <c r="G166" s="36"/>
    </row>
    <row r="167" spans="7:7" x14ac:dyDescent="0.25">
      <c r="G167" s="36"/>
    </row>
    <row r="168" spans="7:7" x14ac:dyDescent="0.25">
      <c r="G168" s="36"/>
    </row>
    <row r="169" spans="7:7" x14ac:dyDescent="0.25">
      <c r="G169" s="36"/>
    </row>
    <row r="170" spans="7:7" x14ac:dyDescent="0.25">
      <c r="G170" s="36"/>
    </row>
    <row r="171" spans="7:7" x14ac:dyDescent="0.25">
      <c r="G171" s="36"/>
    </row>
    <row r="172" spans="7:7" x14ac:dyDescent="0.25">
      <c r="G172" s="36"/>
    </row>
    <row r="173" spans="7:7" x14ac:dyDescent="0.25">
      <c r="G173" s="36"/>
    </row>
    <row r="174" spans="7:7" x14ac:dyDescent="0.25">
      <c r="G174" s="36"/>
    </row>
    <row r="175" spans="7:7" x14ac:dyDescent="0.25">
      <c r="G175" s="36"/>
    </row>
    <row r="176" spans="7:7" x14ac:dyDescent="0.25">
      <c r="G176" s="36"/>
    </row>
    <row r="177" spans="7:7" x14ac:dyDescent="0.25">
      <c r="G177" s="36"/>
    </row>
    <row r="178" spans="7:7" x14ac:dyDescent="0.25">
      <c r="G178" s="36"/>
    </row>
    <row r="179" spans="7:7" x14ac:dyDescent="0.25">
      <c r="G179" s="36"/>
    </row>
    <row r="180" spans="7:7" x14ac:dyDescent="0.25">
      <c r="G180" s="36"/>
    </row>
    <row r="181" spans="7:7" x14ac:dyDescent="0.25">
      <c r="G181" s="36"/>
    </row>
    <row r="182" spans="7:7" x14ac:dyDescent="0.25">
      <c r="G182" s="36"/>
    </row>
    <row r="183" spans="7:7" x14ac:dyDescent="0.25">
      <c r="G183" s="36"/>
    </row>
    <row r="184" spans="7:7" x14ac:dyDescent="0.25">
      <c r="G184" s="36"/>
    </row>
    <row r="185" spans="7:7" x14ac:dyDescent="0.25">
      <c r="G185" s="36"/>
    </row>
    <row r="186" spans="7:7" x14ac:dyDescent="0.25">
      <c r="G186" s="36"/>
    </row>
    <row r="187" spans="7:7" x14ac:dyDescent="0.25">
      <c r="G187" s="36"/>
    </row>
    <row r="188" spans="7:7" x14ac:dyDescent="0.25">
      <c r="G188" s="36"/>
    </row>
    <row r="189" spans="7:7" x14ac:dyDescent="0.25">
      <c r="G189" s="36"/>
    </row>
    <row r="190" spans="7:7" x14ac:dyDescent="0.25">
      <c r="G190" s="36"/>
    </row>
    <row r="191" spans="7:7" x14ac:dyDescent="0.25">
      <c r="G191" s="36"/>
    </row>
    <row r="192" spans="7:7" x14ac:dyDescent="0.25">
      <c r="G192" s="36"/>
    </row>
    <row r="193" spans="7:7" x14ac:dyDescent="0.25">
      <c r="G193" s="36"/>
    </row>
    <row r="194" spans="7:7" x14ac:dyDescent="0.25">
      <c r="G194" s="36"/>
    </row>
    <row r="195" spans="7:7" x14ac:dyDescent="0.25">
      <c r="G195" s="36"/>
    </row>
    <row r="196" spans="7:7" x14ac:dyDescent="0.25">
      <c r="G196" s="36"/>
    </row>
    <row r="197" spans="7:7" x14ac:dyDescent="0.25">
      <c r="G197" s="36"/>
    </row>
    <row r="198" spans="7:7" x14ac:dyDescent="0.25">
      <c r="G198" s="36"/>
    </row>
    <row r="199" spans="7:7" x14ac:dyDescent="0.25">
      <c r="G199" s="36"/>
    </row>
    <row r="200" spans="7:7" x14ac:dyDescent="0.25">
      <c r="G200" s="36"/>
    </row>
    <row r="201" spans="7:7" x14ac:dyDescent="0.25">
      <c r="G201" s="36"/>
    </row>
    <row r="202" spans="7:7" x14ac:dyDescent="0.25">
      <c r="G202" s="36"/>
    </row>
    <row r="203" spans="7:7" x14ac:dyDescent="0.25">
      <c r="G203" s="36"/>
    </row>
    <row r="204" spans="7:7" x14ac:dyDescent="0.25">
      <c r="G204" s="36"/>
    </row>
    <row r="205" spans="7:7" x14ac:dyDescent="0.25">
      <c r="G205" s="36"/>
    </row>
    <row r="206" spans="7:7" x14ac:dyDescent="0.25">
      <c r="G206" s="36"/>
    </row>
    <row r="207" spans="7:7" x14ac:dyDescent="0.25">
      <c r="G207" s="36"/>
    </row>
    <row r="208" spans="7:7" x14ac:dyDescent="0.25">
      <c r="G208" s="36"/>
    </row>
    <row r="209" spans="7:7" x14ac:dyDescent="0.25">
      <c r="G209" s="36"/>
    </row>
    <row r="210" spans="7:7" x14ac:dyDescent="0.25">
      <c r="G210" s="36"/>
    </row>
    <row r="211" spans="7:7" x14ac:dyDescent="0.25">
      <c r="G211" s="36"/>
    </row>
    <row r="212" spans="7:7" x14ac:dyDescent="0.25">
      <c r="G212" s="36"/>
    </row>
    <row r="213" spans="7:7" x14ac:dyDescent="0.25">
      <c r="G213" s="36"/>
    </row>
    <row r="214" spans="7:7" x14ac:dyDescent="0.25">
      <c r="G214" s="36"/>
    </row>
    <row r="215" spans="7:7" x14ac:dyDescent="0.25">
      <c r="G215" s="36"/>
    </row>
    <row r="216" spans="7:7" x14ac:dyDescent="0.25">
      <c r="G216" s="36"/>
    </row>
    <row r="217" spans="7:7" x14ac:dyDescent="0.25">
      <c r="G217" s="36"/>
    </row>
    <row r="218" spans="7:7" x14ac:dyDescent="0.25">
      <c r="G218" s="36"/>
    </row>
    <row r="219" spans="7:7" x14ac:dyDescent="0.25">
      <c r="G219" s="36"/>
    </row>
    <row r="220" spans="7:7" x14ac:dyDescent="0.25">
      <c r="G220" s="36"/>
    </row>
    <row r="221" spans="7:7" x14ac:dyDescent="0.25">
      <c r="G221" s="36"/>
    </row>
    <row r="222" spans="7:7" x14ac:dyDescent="0.25">
      <c r="G222" s="36"/>
    </row>
    <row r="223" spans="7:7" x14ac:dyDescent="0.25">
      <c r="G223" s="36"/>
    </row>
    <row r="224" spans="7:7" x14ac:dyDescent="0.25">
      <c r="G224" s="36"/>
    </row>
    <row r="225" spans="7:7" x14ac:dyDescent="0.25">
      <c r="G225" s="36"/>
    </row>
    <row r="226" spans="7:7" x14ac:dyDescent="0.25">
      <c r="G226" s="36"/>
    </row>
    <row r="227" spans="7:7" x14ac:dyDescent="0.25">
      <c r="G227" s="36"/>
    </row>
    <row r="228" spans="7:7" x14ac:dyDescent="0.25">
      <c r="G228" s="36"/>
    </row>
    <row r="229" spans="7:7" x14ac:dyDescent="0.25">
      <c r="G229" s="36"/>
    </row>
    <row r="230" spans="7:7" x14ac:dyDescent="0.25">
      <c r="G230" s="36"/>
    </row>
    <row r="231" spans="7:7" x14ac:dyDescent="0.25">
      <c r="G231" s="36"/>
    </row>
    <row r="232" spans="7:7" x14ac:dyDescent="0.25">
      <c r="G232" s="36"/>
    </row>
    <row r="233" spans="7:7" x14ac:dyDescent="0.25">
      <c r="G233" s="36"/>
    </row>
    <row r="234" spans="7:7" x14ac:dyDescent="0.25">
      <c r="G234" s="36"/>
    </row>
    <row r="235" spans="7:7" x14ac:dyDescent="0.25">
      <c r="G235" s="36"/>
    </row>
    <row r="236" spans="7:7" x14ac:dyDescent="0.25">
      <c r="G236" s="36"/>
    </row>
    <row r="237" spans="7:7" x14ac:dyDescent="0.25">
      <c r="G237" s="36"/>
    </row>
    <row r="238" spans="7:7" x14ac:dyDescent="0.25">
      <c r="G238" s="36"/>
    </row>
    <row r="239" spans="7:7" x14ac:dyDescent="0.25">
      <c r="G239" s="36"/>
    </row>
    <row r="240" spans="7:7" x14ac:dyDescent="0.25">
      <c r="G240" s="36"/>
    </row>
    <row r="241" spans="7:7" x14ac:dyDescent="0.25">
      <c r="G241" s="36"/>
    </row>
    <row r="242" spans="7:7" x14ac:dyDescent="0.25">
      <c r="G242" s="36"/>
    </row>
    <row r="243" spans="7:7" x14ac:dyDescent="0.25">
      <c r="G243" s="36"/>
    </row>
    <row r="244" spans="7:7" x14ac:dyDescent="0.25">
      <c r="G244" s="36"/>
    </row>
    <row r="245" spans="7:7" x14ac:dyDescent="0.25">
      <c r="G245" s="36"/>
    </row>
    <row r="246" spans="7:7" x14ac:dyDescent="0.25">
      <c r="G246" s="36"/>
    </row>
    <row r="247" spans="7:7" x14ac:dyDescent="0.25">
      <c r="G247" s="36"/>
    </row>
    <row r="248" spans="7:7" x14ac:dyDescent="0.25">
      <c r="G248" s="36"/>
    </row>
    <row r="249" spans="7:7" x14ac:dyDescent="0.25">
      <c r="G249" s="36"/>
    </row>
    <row r="250" spans="7:7" x14ac:dyDescent="0.25">
      <c r="G250" s="36"/>
    </row>
    <row r="251" spans="7:7" x14ac:dyDescent="0.25">
      <c r="G251" s="36"/>
    </row>
    <row r="252" spans="7:7" x14ac:dyDescent="0.25">
      <c r="G252" s="36"/>
    </row>
    <row r="253" spans="7:7" x14ac:dyDescent="0.25">
      <c r="G253" s="36"/>
    </row>
    <row r="254" spans="7:7" x14ac:dyDescent="0.25">
      <c r="G254" s="36"/>
    </row>
    <row r="255" spans="7:7" x14ac:dyDescent="0.25">
      <c r="G255" s="36"/>
    </row>
    <row r="256" spans="7:7" x14ac:dyDescent="0.25">
      <c r="G256" s="36"/>
    </row>
    <row r="257" spans="7:7" x14ac:dyDescent="0.25">
      <c r="G257" s="36"/>
    </row>
    <row r="258" spans="7:7" x14ac:dyDescent="0.25">
      <c r="G258" s="36"/>
    </row>
    <row r="259" spans="7:7" x14ac:dyDescent="0.25">
      <c r="G259" s="36"/>
    </row>
    <row r="260" spans="7:7" x14ac:dyDescent="0.25">
      <c r="G260" s="36"/>
    </row>
    <row r="261" spans="7:7" x14ac:dyDescent="0.25">
      <c r="G261" s="36"/>
    </row>
    <row r="262" spans="7:7" x14ac:dyDescent="0.25">
      <c r="G262" s="36"/>
    </row>
    <row r="263" spans="7:7" x14ac:dyDescent="0.25">
      <c r="G263" s="36"/>
    </row>
    <row r="264" spans="7:7" x14ac:dyDescent="0.25">
      <c r="G264" s="36"/>
    </row>
    <row r="265" spans="7:7" x14ac:dyDescent="0.25">
      <c r="G265" s="36"/>
    </row>
    <row r="266" spans="7:7" x14ac:dyDescent="0.25">
      <c r="G266" s="36"/>
    </row>
    <row r="267" spans="7:7" x14ac:dyDescent="0.25">
      <c r="G267" s="36"/>
    </row>
    <row r="268" spans="7:7" x14ac:dyDescent="0.25">
      <c r="G268" s="36"/>
    </row>
    <row r="269" spans="7:7" x14ac:dyDescent="0.25">
      <c r="G269" s="36"/>
    </row>
    <row r="270" spans="7:7" x14ac:dyDescent="0.25">
      <c r="G270" s="36"/>
    </row>
    <row r="271" spans="7:7" x14ac:dyDescent="0.25">
      <c r="G271" s="36"/>
    </row>
    <row r="272" spans="7:7" x14ac:dyDescent="0.25">
      <c r="G272" s="36"/>
    </row>
    <row r="273" spans="7:7" x14ac:dyDescent="0.25">
      <c r="G273" s="36"/>
    </row>
    <row r="274" spans="7:7" x14ac:dyDescent="0.25">
      <c r="G274" s="36"/>
    </row>
    <row r="275" spans="7:7" x14ac:dyDescent="0.25">
      <c r="G275" s="36"/>
    </row>
    <row r="276" spans="7:7" x14ac:dyDescent="0.25">
      <c r="G276" s="36"/>
    </row>
    <row r="277" spans="7:7" x14ac:dyDescent="0.25">
      <c r="G277" s="36"/>
    </row>
    <row r="278" spans="7:7" x14ac:dyDescent="0.25">
      <c r="G278" s="36"/>
    </row>
    <row r="279" spans="7:7" x14ac:dyDescent="0.25">
      <c r="G279" s="36"/>
    </row>
    <row r="280" spans="7:7" x14ac:dyDescent="0.25">
      <c r="G280" s="36"/>
    </row>
    <row r="281" spans="7:7" x14ac:dyDescent="0.25">
      <c r="G281" s="36"/>
    </row>
    <row r="282" spans="7:7" x14ac:dyDescent="0.25">
      <c r="G282" s="36"/>
    </row>
    <row r="283" spans="7:7" x14ac:dyDescent="0.25">
      <c r="G283" s="36"/>
    </row>
    <row r="284" spans="7:7" x14ac:dyDescent="0.25">
      <c r="G284" s="36"/>
    </row>
    <row r="285" spans="7:7" x14ac:dyDescent="0.25">
      <c r="G285" s="36"/>
    </row>
    <row r="286" spans="7:7" x14ac:dyDescent="0.25">
      <c r="G286" s="36"/>
    </row>
    <row r="287" spans="7:7" x14ac:dyDescent="0.25">
      <c r="G287" s="36"/>
    </row>
    <row r="288" spans="7:7" x14ac:dyDescent="0.25">
      <c r="G288" s="36"/>
    </row>
    <row r="289" spans="7:7" x14ac:dyDescent="0.25">
      <c r="G289" s="36"/>
    </row>
    <row r="290" spans="7:7" x14ac:dyDescent="0.25">
      <c r="G290" s="36"/>
    </row>
    <row r="291" spans="7:7" x14ac:dyDescent="0.25">
      <c r="G291" s="36"/>
    </row>
    <row r="292" spans="7:7" x14ac:dyDescent="0.25">
      <c r="G292" s="36"/>
    </row>
    <row r="293" spans="7:7" x14ac:dyDescent="0.25">
      <c r="G293" s="36"/>
    </row>
    <row r="294" spans="7:7" x14ac:dyDescent="0.25">
      <c r="G294" s="36"/>
    </row>
    <row r="295" spans="7:7" x14ac:dyDescent="0.25">
      <c r="G295" s="36"/>
    </row>
    <row r="296" spans="7:7" x14ac:dyDescent="0.25">
      <c r="G296" s="36"/>
    </row>
    <row r="297" spans="7:7" x14ac:dyDescent="0.25">
      <c r="G297" s="36"/>
    </row>
    <row r="298" spans="7:7" x14ac:dyDescent="0.25">
      <c r="G298" s="36"/>
    </row>
    <row r="299" spans="7:7" x14ac:dyDescent="0.25">
      <c r="G299" s="36"/>
    </row>
    <row r="300" spans="7:7" x14ac:dyDescent="0.25">
      <c r="G300" s="36"/>
    </row>
    <row r="301" spans="7:7" x14ac:dyDescent="0.25">
      <c r="G301" s="36"/>
    </row>
    <row r="302" spans="7:7" x14ac:dyDescent="0.25">
      <c r="G302" s="36"/>
    </row>
    <row r="303" spans="7:7" x14ac:dyDescent="0.25">
      <c r="G303" s="36"/>
    </row>
    <row r="304" spans="7:7" x14ac:dyDescent="0.25">
      <c r="G304" s="36"/>
    </row>
    <row r="305" spans="7:7" x14ac:dyDescent="0.25">
      <c r="G305" s="36"/>
    </row>
    <row r="306" spans="7:7" x14ac:dyDescent="0.25">
      <c r="G306" s="36"/>
    </row>
    <row r="307" spans="7:7" x14ac:dyDescent="0.25">
      <c r="G307" s="36"/>
    </row>
    <row r="308" spans="7:7" x14ac:dyDescent="0.25">
      <c r="G308" s="36"/>
    </row>
    <row r="309" spans="7:7" x14ac:dyDescent="0.25">
      <c r="G309" s="36"/>
    </row>
    <row r="310" spans="7:7" x14ac:dyDescent="0.25">
      <c r="G310" s="36"/>
    </row>
    <row r="311" spans="7:7" x14ac:dyDescent="0.25">
      <c r="G311" s="36"/>
    </row>
    <row r="312" spans="7:7" x14ac:dyDescent="0.25">
      <c r="G312" s="36"/>
    </row>
    <row r="313" spans="7:7" x14ac:dyDescent="0.25">
      <c r="G313" s="36"/>
    </row>
    <row r="314" spans="7:7" x14ac:dyDescent="0.25">
      <c r="G314" s="36"/>
    </row>
    <row r="315" spans="7:7" x14ac:dyDescent="0.25">
      <c r="G315" s="36"/>
    </row>
    <row r="316" spans="7:7" x14ac:dyDescent="0.25">
      <c r="G316" s="36"/>
    </row>
    <row r="317" spans="7:7" x14ac:dyDescent="0.25">
      <c r="G317" s="36"/>
    </row>
    <row r="318" spans="7:7" x14ac:dyDescent="0.25">
      <c r="G318" s="36"/>
    </row>
    <row r="319" spans="7:7" x14ac:dyDescent="0.25">
      <c r="G319" s="36"/>
    </row>
    <row r="320" spans="7:7" x14ac:dyDescent="0.25">
      <c r="G320" s="36"/>
    </row>
    <row r="321" spans="7:7" x14ac:dyDescent="0.25">
      <c r="G321" s="36"/>
    </row>
    <row r="322" spans="7:7" x14ac:dyDescent="0.25">
      <c r="G322" s="36"/>
    </row>
    <row r="323" spans="7:7" x14ac:dyDescent="0.25">
      <c r="G323" s="36"/>
    </row>
    <row r="324" spans="7:7" x14ac:dyDescent="0.25">
      <c r="G324" s="36"/>
    </row>
    <row r="325" spans="7:7" x14ac:dyDescent="0.25">
      <c r="G325" s="36"/>
    </row>
    <row r="326" spans="7:7" x14ac:dyDescent="0.25">
      <c r="G326" s="36"/>
    </row>
    <row r="327" spans="7:7" x14ac:dyDescent="0.25">
      <c r="G327" s="36"/>
    </row>
    <row r="328" spans="7:7" x14ac:dyDescent="0.25">
      <c r="G328" s="36"/>
    </row>
    <row r="329" spans="7:7" x14ac:dyDescent="0.25">
      <c r="G329" s="36"/>
    </row>
    <row r="330" spans="7:7" x14ac:dyDescent="0.25">
      <c r="G330" s="36"/>
    </row>
    <row r="331" spans="7:7" x14ac:dyDescent="0.25">
      <c r="G331" s="36"/>
    </row>
    <row r="332" spans="7:7" x14ac:dyDescent="0.25">
      <c r="G332" s="36"/>
    </row>
    <row r="333" spans="7:7" x14ac:dyDescent="0.25">
      <c r="G333" s="36"/>
    </row>
    <row r="334" spans="7:7" x14ac:dyDescent="0.25">
      <c r="G334" s="36"/>
    </row>
    <row r="335" spans="7:7" x14ac:dyDescent="0.25">
      <c r="G335" s="36"/>
    </row>
    <row r="336" spans="7:7" x14ac:dyDescent="0.25">
      <c r="G336" s="36"/>
    </row>
    <row r="337" spans="7:7" x14ac:dyDescent="0.25">
      <c r="G337" s="36"/>
    </row>
    <row r="338" spans="7:7" x14ac:dyDescent="0.25">
      <c r="G338" s="36"/>
    </row>
    <row r="339" spans="7:7" x14ac:dyDescent="0.25">
      <c r="G339" s="36"/>
    </row>
    <row r="340" spans="7:7" x14ac:dyDescent="0.25">
      <c r="G340" s="36"/>
    </row>
    <row r="341" spans="7:7" x14ac:dyDescent="0.25">
      <c r="G341" s="36"/>
    </row>
    <row r="342" spans="7:7" x14ac:dyDescent="0.25">
      <c r="G342" s="36"/>
    </row>
    <row r="343" spans="7:7" x14ac:dyDescent="0.25">
      <c r="G343" s="36"/>
    </row>
    <row r="344" spans="7:7" x14ac:dyDescent="0.25">
      <c r="G344" s="36"/>
    </row>
    <row r="345" spans="7:7" x14ac:dyDescent="0.25">
      <c r="G345" s="36"/>
    </row>
    <row r="346" spans="7:7" x14ac:dyDescent="0.25">
      <c r="G346" s="36"/>
    </row>
    <row r="347" spans="7:7" x14ac:dyDescent="0.25">
      <c r="G347" s="36"/>
    </row>
    <row r="348" spans="7:7" x14ac:dyDescent="0.25">
      <c r="G348" s="36"/>
    </row>
    <row r="349" spans="7:7" x14ac:dyDescent="0.25">
      <c r="G349" s="36"/>
    </row>
    <row r="350" spans="7:7" x14ac:dyDescent="0.25">
      <c r="G350" s="36"/>
    </row>
    <row r="351" spans="7:7" x14ac:dyDescent="0.25">
      <c r="G351" s="36"/>
    </row>
    <row r="352" spans="7:7" x14ac:dyDescent="0.25">
      <c r="G352" s="36"/>
    </row>
    <row r="353" spans="7:7" x14ac:dyDescent="0.25">
      <c r="G353" s="36"/>
    </row>
    <row r="354" spans="7:7" x14ac:dyDescent="0.25">
      <c r="G354" s="36"/>
    </row>
    <row r="355" spans="7:7" x14ac:dyDescent="0.25">
      <c r="G355" s="36"/>
    </row>
    <row r="356" spans="7:7" x14ac:dyDescent="0.25">
      <c r="G356" s="36"/>
    </row>
    <row r="357" spans="7:7" x14ac:dyDescent="0.25">
      <c r="G357" s="36"/>
    </row>
    <row r="358" spans="7:7" x14ac:dyDescent="0.25">
      <c r="G358" s="36"/>
    </row>
    <row r="359" spans="7:7" x14ac:dyDescent="0.25">
      <c r="G359" s="36"/>
    </row>
    <row r="360" spans="7:7" x14ac:dyDescent="0.25">
      <c r="G360" s="36"/>
    </row>
    <row r="361" spans="7:7" x14ac:dyDescent="0.25">
      <c r="G361" s="36"/>
    </row>
    <row r="362" spans="7:7" x14ac:dyDescent="0.25">
      <c r="G362" s="36"/>
    </row>
    <row r="363" spans="7:7" x14ac:dyDescent="0.25">
      <c r="G363" s="36"/>
    </row>
    <row r="364" spans="7:7" x14ac:dyDescent="0.25">
      <c r="G364" s="36"/>
    </row>
    <row r="365" spans="7:7" x14ac:dyDescent="0.25">
      <c r="G365" s="36"/>
    </row>
    <row r="366" spans="7:7" x14ac:dyDescent="0.25">
      <c r="G366" s="36"/>
    </row>
    <row r="367" spans="7:7" x14ac:dyDescent="0.25">
      <c r="G367" s="36"/>
    </row>
    <row r="368" spans="7:7" x14ac:dyDescent="0.25">
      <c r="G368" s="36"/>
    </row>
    <row r="369" spans="7:7" x14ac:dyDescent="0.25">
      <c r="G369" s="36"/>
    </row>
    <row r="370" spans="7:7" x14ac:dyDescent="0.25">
      <c r="G370" s="36"/>
    </row>
    <row r="371" spans="7:7" x14ac:dyDescent="0.25">
      <c r="G371" s="36"/>
    </row>
    <row r="372" spans="7:7" x14ac:dyDescent="0.25">
      <c r="G372" s="36"/>
    </row>
    <row r="373" spans="7:7" x14ac:dyDescent="0.25">
      <c r="G373" s="36"/>
    </row>
    <row r="374" spans="7:7" x14ac:dyDescent="0.25">
      <c r="G374" s="36"/>
    </row>
    <row r="375" spans="7:7" x14ac:dyDescent="0.25">
      <c r="G375" s="36"/>
    </row>
    <row r="376" spans="7:7" x14ac:dyDescent="0.25">
      <c r="G376" s="36"/>
    </row>
    <row r="377" spans="7:7" x14ac:dyDescent="0.25">
      <c r="G377" s="36"/>
    </row>
    <row r="378" spans="7:7" x14ac:dyDescent="0.25">
      <c r="G378" s="36"/>
    </row>
    <row r="379" spans="7:7" x14ac:dyDescent="0.25">
      <c r="G379" s="36"/>
    </row>
    <row r="380" spans="7:7" x14ac:dyDescent="0.25">
      <c r="G380" s="36"/>
    </row>
    <row r="381" spans="7:7" x14ac:dyDescent="0.25">
      <c r="G381" s="36"/>
    </row>
    <row r="382" spans="7:7" x14ac:dyDescent="0.25">
      <c r="G382" s="36"/>
    </row>
    <row r="383" spans="7:7" x14ac:dyDescent="0.25">
      <c r="G383" s="36"/>
    </row>
    <row r="384" spans="7:7" x14ac:dyDescent="0.25">
      <c r="G384" s="36"/>
    </row>
    <row r="385" spans="7:7" x14ac:dyDescent="0.25">
      <c r="G385" s="36"/>
    </row>
    <row r="386" spans="7:7" x14ac:dyDescent="0.25">
      <c r="G386" s="36"/>
    </row>
    <row r="387" spans="7:7" x14ac:dyDescent="0.25">
      <c r="G387" s="36"/>
    </row>
    <row r="388" spans="7:7" x14ac:dyDescent="0.25">
      <c r="G388" s="36"/>
    </row>
    <row r="389" spans="7:7" x14ac:dyDescent="0.25">
      <c r="G389" s="36"/>
    </row>
    <row r="390" spans="7:7" x14ac:dyDescent="0.25">
      <c r="G390" s="36"/>
    </row>
    <row r="391" spans="7:7" x14ac:dyDescent="0.25">
      <c r="G391" s="36"/>
    </row>
    <row r="392" spans="7:7" x14ac:dyDescent="0.25">
      <c r="G392" s="36"/>
    </row>
    <row r="393" spans="7:7" x14ac:dyDescent="0.25">
      <c r="G393" s="36"/>
    </row>
    <row r="394" spans="7:7" x14ac:dyDescent="0.25">
      <c r="G394" s="36"/>
    </row>
    <row r="395" spans="7:7" x14ac:dyDescent="0.25">
      <c r="G395" s="36"/>
    </row>
    <row r="396" spans="7:7" x14ac:dyDescent="0.25">
      <c r="G396" s="36"/>
    </row>
    <row r="397" spans="7:7" x14ac:dyDescent="0.25">
      <c r="G397" s="36"/>
    </row>
    <row r="398" spans="7:7" x14ac:dyDescent="0.25">
      <c r="G398" s="36"/>
    </row>
    <row r="399" spans="7:7" x14ac:dyDescent="0.25">
      <c r="G399" s="36"/>
    </row>
    <row r="400" spans="7:7" x14ac:dyDescent="0.25">
      <c r="G400" s="36"/>
    </row>
    <row r="401" spans="7:7" x14ac:dyDescent="0.25">
      <c r="G401" s="36"/>
    </row>
    <row r="402" spans="7:7" x14ac:dyDescent="0.25">
      <c r="G402" s="36"/>
    </row>
    <row r="403" spans="7:7" x14ac:dyDescent="0.25">
      <c r="G403" s="36"/>
    </row>
    <row r="404" spans="7:7" x14ac:dyDescent="0.25">
      <c r="G404" s="36"/>
    </row>
    <row r="405" spans="7:7" x14ac:dyDescent="0.25">
      <c r="G405" s="36"/>
    </row>
    <row r="406" spans="7:7" x14ac:dyDescent="0.25">
      <c r="G406" s="36"/>
    </row>
    <row r="407" spans="7:7" x14ac:dyDescent="0.25">
      <c r="G407" s="36"/>
    </row>
    <row r="408" spans="7:7" x14ac:dyDescent="0.25">
      <c r="G408" s="36"/>
    </row>
    <row r="409" spans="7:7" x14ac:dyDescent="0.25">
      <c r="G409" s="36"/>
    </row>
    <row r="410" spans="7:7" x14ac:dyDescent="0.25">
      <c r="G410" s="36"/>
    </row>
    <row r="411" spans="7:7" x14ac:dyDescent="0.25">
      <c r="G411" s="36"/>
    </row>
    <row r="412" spans="7:7" x14ac:dyDescent="0.25">
      <c r="G412" s="36"/>
    </row>
    <row r="413" spans="7:7" x14ac:dyDescent="0.25">
      <c r="G413" s="36"/>
    </row>
    <row r="414" spans="7:7" x14ac:dyDescent="0.25">
      <c r="G414" s="36"/>
    </row>
    <row r="415" spans="7:7" x14ac:dyDescent="0.25">
      <c r="G415" s="36"/>
    </row>
    <row r="416" spans="7:7" x14ac:dyDescent="0.25">
      <c r="G416" s="36"/>
    </row>
    <row r="417" spans="7:7" x14ac:dyDescent="0.25">
      <c r="G417" s="36"/>
    </row>
    <row r="418" spans="7:7" x14ac:dyDescent="0.25">
      <c r="G418" s="36"/>
    </row>
    <row r="419" spans="7:7" x14ac:dyDescent="0.25">
      <c r="G419" s="36"/>
    </row>
    <row r="420" spans="7:7" x14ac:dyDescent="0.25">
      <c r="G420" s="36"/>
    </row>
    <row r="421" spans="7:7" x14ac:dyDescent="0.25">
      <c r="G421" s="36"/>
    </row>
    <row r="422" spans="7:7" x14ac:dyDescent="0.25">
      <c r="G422" s="36"/>
    </row>
    <row r="423" spans="7:7" x14ac:dyDescent="0.25">
      <c r="G423" s="36"/>
    </row>
    <row r="424" spans="7:7" x14ac:dyDescent="0.25">
      <c r="G424" s="36"/>
    </row>
    <row r="425" spans="7:7" x14ac:dyDescent="0.25">
      <c r="G425" s="36"/>
    </row>
    <row r="426" spans="7:7" x14ac:dyDescent="0.25">
      <c r="G426" s="36"/>
    </row>
    <row r="427" spans="7:7" x14ac:dyDescent="0.25">
      <c r="G427" s="36"/>
    </row>
    <row r="428" spans="7:7" x14ac:dyDescent="0.25">
      <c r="G428" s="36"/>
    </row>
    <row r="429" spans="7:7" x14ac:dyDescent="0.25">
      <c r="G429" s="36"/>
    </row>
    <row r="430" spans="7:7" x14ac:dyDescent="0.25">
      <c r="G430" s="36"/>
    </row>
    <row r="431" spans="7:7" x14ac:dyDescent="0.25">
      <c r="G431" s="36"/>
    </row>
    <row r="432" spans="7:7" x14ac:dyDescent="0.25">
      <c r="G432" s="36"/>
    </row>
    <row r="433" spans="7:7" x14ac:dyDescent="0.25">
      <c r="G433" s="36"/>
    </row>
    <row r="434" spans="7:7" x14ac:dyDescent="0.25">
      <c r="G434" s="36"/>
    </row>
    <row r="435" spans="7:7" x14ac:dyDescent="0.25">
      <c r="G435" s="36"/>
    </row>
    <row r="436" spans="7:7" x14ac:dyDescent="0.25">
      <c r="G436" s="36"/>
    </row>
    <row r="437" spans="7:7" x14ac:dyDescent="0.25">
      <c r="G437" s="36"/>
    </row>
    <row r="438" spans="7:7" x14ac:dyDescent="0.25">
      <c r="G438" s="36"/>
    </row>
    <row r="439" spans="7:7" x14ac:dyDescent="0.25">
      <c r="G439" s="36"/>
    </row>
    <row r="440" spans="7:7" x14ac:dyDescent="0.25">
      <c r="G440" s="36"/>
    </row>
    <row r="441" spans="7:7" x14ac:dyDescent="0.25">
      <c r="G441" s="36"/>
    </row>
    <row r="442" spans="7:7" x14ac:dyDescent="0.25">
      <c r="G442" s="36"/>
    </row>
    <row r="443" spans="7:7" x14ac:dyDescent="0.25">
      <c r="G443" s="36"/>
    </row>
    <row r="444" spans="7:7" x14ac:dyDescent="0.25">
      <c r="G444" s="36"/>
    </row>
    <row r="445" spans="7:7" x14ac:dyDescent="0.25">
      <c r="G445" s="36"/>
    </row>
    <row r="446" spans="7:7" x14ac:dyDescent="0.25">
      <c r="G446" s="36"/>
    </row>
    <row r="447" spans="7:7" x14ac:dyDescent="0.25">
      <c r="G447" s="36"/>
    </row>
    <row r="448" spans="7:7" x14ac:dyDescent="0.25">
      <c r="G448" s="36"/>
    </row>
    <row r="449" spans="7:7" x14ac:dyDescent="0.25">
      <c r="G449" s="36"/>
    </row>
    <row r="450" spans="7:7" x14ac:dyDescent="0.25">
      <c r="G450" s="36"/>
    </row>
    <row r="451" spans="7:7" x14ac:dyDescent="0.25">
      <c r="G451" s="36"/>
    </row>
    <row r="452" spans="7:7" x14ac:dyDescent="0.25">
      <c r="G452" s="36"/>
    </row>
    <row r="453" spans="7:7" x14ac:dyDescent="0.25">
      <c r="G453" s="36"/>
    </row>
    <row r="454" spans="7:7" x14ac:dyDescent="0.25">
      <c r="G454" s="36"/>
    </row>
    <row r="455" spans="7:7" x14ac:dyDescent="0.25">
      <c r="G455" s="36"/>
    </row>
    <row r="456" spans="7:7" x14ac:dyDescent="0.25">
      <c r="G456" s="36"/>
    </row>
    <row r="457" spans="7:7" x14ac:dyDescent="0.25">
      <c r="G457" s="36"/>
    </row>
    <row r="458" spans="7:7" x14ac:dyDescent="0.25">
      <c r="G458" s="36"/>
    </row>
    <row r="459" spans="7:7" x14ac:dyDescent="0.25">
      <c r="G459" s="36"/>
    </row>
    <row r="460" spans="7:7" x14ac:dyDescent="0.25">
      <c r="G460" s="36"/>
    </row>
    <row r="461" spans="7:7" x14ac:dyDescent="0.25">
      <c r="G461" s="36"/>
    </row>
    <row r="462" spans="7:7" x14ac:dyDescent="0.25">
      <c r="G462" s="36"/>
    </row>
    <row r="463" spans="7:7" x14ac:dyDescent="0.25">
      <c r="G463" s="36"/>
    </row>
    <row r="464" spans="7:7" x14ac:dyDescent="0.25">
      <c r="G464" s="36"/>
    </row>
    <row r="465" spans="7:7" x14ac:dyDescent="0.25">
      <c r="G465" s="36"/>
    </row>
    <row r="466" spans="7:7" x14ac:dyDescent="0.25">
      <c r="G466" s="36"/>
    </row>
    <row r="467" spans="7:7" x14ac:dyDescent="0.25">
      <c r="G467" s="36"/>
    </row>
    <row r="468" spans="7:7" x14ac:dyDescent="0.25">
      <c r="G468" s="36"/>
    </row>
    <row r="469" spans="7:7" x14ac:dyDescent="0.25">
      <c r="G469" s="36"/>
    </row>
    <row r="470" spans="7:7" x14ac:dyDescent="0.25">
      <c r="G470" s="36"/>
    </row>
    <row r="471" spans="7:7" x14ac:dyDescent="0.25">
      <c r="G471" s="36"/>
    </row>
    <row r="472" spans="7:7" x14ac:dyDescent="0.25">
      <c r="G472" s="36"/>
    </row>
    <row r="473" spans="7:7" x14ac:dyDescent="0.25">
      <c r="G473" s="36"/>
    </row>
    <row r="474" spans="7:7" x14ac:dyDescent="0.25">
      <c r="G474" s="36"/>
    </row>
    <row r="475" spans="7:7" x14ac:dyDescent="0.25">
      <c r="G475" s="36"/>
    </row>
    <row r="476" spans="7:7" x14ac:dyDescent="0.25">
      <c r="G476" s="36"/>
    </row>
    <row r="477" spans="7:7" x14ac:dyDescent="0.25">
      <c r="G477" s="36"/>
    </row>
    <row r="478" spans="7:7" x14ac:dyDescent="0.25">
      <c r="G478" s="36"/>
    </row>
    <row r="479" spans="7:7" x14ac:dyDescent="0.25">
      <c r="G479" s="36"/>
    </row>
    <row r="480" spans="7:7" x14ac:dyDescent="0.25">
      <c r="G480" s="36"/>
    </row>
    <row r="481" spans="7:7" x14ac:dyDescent="0.25">
      <c r="G481" s="36"/>
    </row>
    <row r="482" spans="7:7" x14ac:dyDescent="0.25">
      <c r="G482" s="36"/>
    </row>
    <row r="483" spans="7:7" x14ac:dyDescent="0.25">
      <c r="G483" s="36"/>
    </row>
    <row r="484" spans="7:7" x14ac:dyDescent="0.25">
      <c r="G484" s="36"/>
    </row>
    <row r="485" spans="7:7" x14ac:dyDescent="0.25">
      <c r="G485" s="36"/>
    </row>
    <row r="486" spans="7:7" x14ac:dyDescent="0.25">
      <c r="G486" s="36"/>
    </row>
    <row r="487" spans="7:7" x14ac:dyDescent="0.25">
      <c r="G487" s="36"/>
    </row>
    <row r="488" spans="7:7" x14ac:dyDescent="0.25">
      <c r="G488" s="36"/>
    </row>
    <row r="489" spans="7:7" x14ac:dyDescent="0.25">
      <c r="G489" s="36"/>
    </row>
    <row r="490" spans="7:7" x14ac:dyDescent="0.25">
      <c r="G490" s="36"/>
    </row>
    <row r="491" spans="7:7" x14ac:dyDescent="0.25">
      <c r="G491" s="36"/>
    </row>
    <row r="492" spans="7:7" x14ac:dyDescent="0.25">
      <c r="G492" s="36"/>
    </row>
    <row r="493" spans="7:7" x14ac:dyDescent="0.25">
      <c r="G493" s="36"/>
    </row>
    <row r="494" spans="7:7" x14ac:dyDescent="0.25">
      <c r="G494" s="36"/>
    </row>
    <row r="495" spans="7:7" x14ac:dyDescent="0.25">
      <c r="G495" s="36"/>
    </row>
    <row r="496" spans="7:7" x14ac:dyDescent="0.25">
      <c r="G496" s="36"/>
    </row>
    <row r="497" spans="7:7" x14ac:dyDescent="0.25">
      <c r="G497" s="36"/>
    </row>
    <row r="498" spans="7:7" x14ac:dyDescent="0.25">
      <c r="G498" s="36"/>
    </row>
    <row r="499" spans="7:7" x14ac:dyDescent="0.25">
      <c r="G499" s="36"/>
    </row>
    <row r="500" spans="7:7" x14ac:dyDescent="0.25">
      <c r="G500" s="36"/>
    </row>
    <row r="501" spans="7:7" x14ac:dyDescent="0.25">
      <c r="G501" s="36"/>
    </row>
    <row r="502" spans="7:7" x14ac:dyDescent="0.25">
      <c r="G502" s="36"/>
    </row>
    <row r="503" spans="7:7" x14ac:dyDescent="0.25">
      <c r="G503" s="36"/>
    </row>
    <row r="504" spans="7:7" x14ac:dyDescent="0.25">
      <c r="G504" s="36"/>
    </row>
    <row r="505" spans="7:7" x14ac:dyDescent="0.25">
      <c r="G505" s="36"/>
    </row>
    <row r="506" spans="7:7" x14ac:dyDescent="0.25">
      <c r="G506" s="36"/>
    </row>
    <row r="507" spans="7:7" x14ac:dyDescent="0.25">
      <c r="G507" s="36"/>
    </row>
    <row r="508" spans="7:7" x14ac:dyDescent="0.25">
      <c r="G508" s="36"/>
    </row>
    <row r="509" spans="7:7" x14ac:dyDescent="0.25">
      <c r="G509" s="36"/>
    </row>
    <row r="510" spans="7:7" x14ac:dyDescent="0.25">
      <c r="G510" s="36"/>
    </row>
    <row r="511" spans="7:7" x14ac:dyDescent="0.25">
      <c r="G511" s="36"/>
    </row>
    <row r="512" spans="7:7" x14ac:dyDescent="0.25">
      <c r="G512" s="36"/>
    </row>
    <row r="513" spans="7:7" x14ac:dyDescent="0.25">
      <c r="G513" s="36"/>
    </row>
    <row r="514" spans="7:7" x14ac:dyDescent="0.25">
      <c r="G514" s="36"/>
    </row>
    <row r="515" spans="7:7" x14ac:dyDescent="0.25">
      <c r="G515" s="36"/>
    </row>
    <row r="516" spans="7:7" x14ac:dyDescent="0.25">
      <c r="G516" s="36"/>
    </row>
    <row r="517" spans="7:7" x14ac:dyDescent="0.25">
      <c r="G517" s="36"/>
    </row>
    <row r="518" spans="7:7" x14ac:dyDescent="0.25">
      <c r="G518" s="36"/>
    </row>
    <row r="519" spans="7:7" x14ac:dyDescent="0.25">
      <c r="G519" s="36"/>
    </row>
    <row r="520" spans="7:7" x14ac:dyDescent="0.25">
      <c r="G520" s="36"/>
    </row>
    <row r="521" spans="7:7" x14ac:dyDescent="0.25">
      <c r="G521" s="36"/>
    </row>
    <row r="522" spans="7:7" x14ac:dyDescent="0.25">
      <c r="G522" s="36"/>
    </row>
    <row r="523" spans="7:7" x14ac:dyDescent="0.25">
      <c r="G523" s="36"/>
    </row>
    <row r="524" spans="7:7" x14ac:dyDescent="0.25">
      <c r="G524" s="36"/>
    </row>
    <row r="525" spans="7:7" x14ac:dyDescent="0.25">
      <c r="G525" s="36"/>
    </row>
    <row r="526" spans="7:7" x14ac:dyDescent="0.25">
      <c r="G526" s="36"/>
    </row>
    <row r="527" spans="7:7" x14ac:dyDescent="0.25">
      <c r="G527" s="36"/>
    </row>
    <row r="528" spans="7:7" x14ac:dyDescent="0.25">
      <c r="G528" s="36"/>
    </row>
    <row r="529" spans="7:7" x14ac:dyDescent="0.25">
      <c r="G529" s="36"/>
    </row>
    <row r="530" spans="7:7" x14ac:dyDescent="0.25">
      <c r="G530" s="36"/>
    </row>
    <row r="531" spans="7:7" x14ac:dyDescent="0.25">
      <c r="G531" s="36"/>
    </row>
    <row r="532" spans="7:7" x14ac:dyDescent="0.25">
      <c r="G532" s="36"/>
    </row>
    <row r="533" spans="7:7" x14ac:dyDescent="0.25">
      <c r="G533" s="36"/>
    </row>
    <row r="534" spans="7:7" x14ac:dyDescent="0.25">
      <c r="G534" s="36"/>
    </row>
    <row r="535" spans="7:7" x14ac:dyDescent="0.25">
      <c r="G535" s="36"/>
    </row>
    <row r="536" spans="7:7" x14ac:dyDescent="0.25">
      <c r="G536" s="36"/>
    </row>
    <row r="537" spans="7:7" x14ac:dyDescent="0.25">
      <c r="G537" s="36"/>
    </row>
    <row r="538" spans="7:7" x14ac:dyDescent="0.25">
      <c r="G538" s="36"/>
    </row>
    <row r="539" spans="7:7" x14ac:dyDescent="0.25">
      <c r="G539" s="36"/>
    </row>
    <row r="540" spans="7:7" x14ac:dyDescent="0.25">
      <c r="G540" s="36"/>
    </row>
    <row r="541" spans="7:7" x14ac:dyDescent="0.25">
      <c r="G541" s="36"/>
    </row>
    <row r="542" spans="7:7" x14ac:dyDescent="0.25">
      <c r="G542" s="36"/>
    </row>
    <row r="543" spans="7:7" x14ac:dyDescent="0.25">
      <c r="G543" s="36"/>
    </row>
    <row r="544" spans="7:7" x14ac:dyDescent="0.25">
      <c r="G544" s="36"/>
    </row>
    <row r="545" spans="7:7" x14ac:dyDescent="0.25">
      <c r="G545" s="36"/>
    </row>
    <row r="546" spans="7:7" x14ac:dyDescent="0.25">
      <c r="G546" s="36"/>
    </row>
    <row r="547" spans="7:7" x14ac:dyDescent="0.25">
      <c r="G547" s="36"/>
    </row>
    <row r="548" spans="7:7" x14ac:dyDescent="0.25">
      <c r="G548" s="36"/>
    </row>
    <row r="549" spans="7:7" x14ac:dyDescent="0.25">
      <c r="G549" s="36"/>
    </row>
    <row r="550" spans="7:7" x14ac:dyDescent="0.25">
      <c r="G550" s="36"/>
    </row>
    <row r="551" spans="7:7" x14ac:dyDescent="0.25">
      <c r="G551" s="36"/>
    </row>
    <row r="552" spans="7:7" x14ac:dyDescent="0.25">
      <c r="G552" s="36"/>
    </row>
    <row r="553" spans="7:7" x14ac:dyDescent="0.25">
      <c r="G553" s="36"/>
    </row>
    <row r="554" spans="7:7" x14ac:dyDescent="0.25">
      <c r="G554" s="36"/>
    </row>
    <row r="555" spans="7:7" x14ac:dyDescent="0.25">
      <c r="G555" s="36"/>
    </row>
    <row r="556" spans="7:7" x14ac:dyDescent="0.25">
      <c r="G556" s="36"/>
    </row>
    <row r="557" spans="7:7" x14ac:dyDescent="0.25">
      <c r="G557" s="36"/>
    </row>
    <row r="558" spans="7:7" x14ac:dyDescent="0.25">
      <c r="G558" s="36"/>
    </row>
    <row r="559" spans="7:7" x14ac:dyDescent="0.25">
      <c r="G559" s="36"/>
    </row>
    <row r="560" spans="7:7" x14ac:dyDescent="0.25">
      <c r="G560" s="36"/>
    </row>
    <row r="561" spans="7:7" x14ac:dyDescent="0.25">
      <c r="G561" s="36"/>
    </row>
    <row r="562" spans="7:7" x14ac:dyDescent="0.25">
      <c r="G562" s="36"/>
    </row>
    <row r="563" spans="7:7" x14ac:dyDescent="0.25">
      <c r="G563" s="36"/>
    </row>
    <row r="564" spans="7:7" x14ac:dyDescent="0.25">
      <c r="G564" s="36"/>
    </row>
    <row r="565" spans="7:7" x14ac:dyDescent="0.25">
      <c r="G565" s="36"/>
    </row>
    <row r="566" spans="7:7" x14ac:dyDescent="0.25">
      <c r="G566" s="36"/>
    </row>
    <row r="567" spans="7:7" x14ac:dyDescent="0.25">
      <c r="G567" s="36"/>
    </row>
    <row r="568" spans="7:7" x14ac:dyDescent="0.25">
      <c r="G568" s="36"/>
    </row>
    <row r="569" spans="7:7" x14ac:dyDescent="0.25">
      <c r="G569" s="36"/>
    </row>
    <row r="570" spans="7:7" x14ac:dyDescent="0.25">
      <c r="G570" s="36"/>
    </row>
    <row r="571" spans="7:7" x14ac:dyDescent="0.25">
      <c r="G571" s="36"/>
    </row>
    <row r="572" spans="7:7" x14ac:dyDescent="0.25">
      <c r="G572" s="36"/>
    </row>
    <row r="573" spans="7:7" x14ac:dyDescent="0.25">
      <c r="G573" s="36"/>
    </row>
    <row r="574" spans="7:7" x14ac:dyDescent="0.25">
      <c r="G574" s="36"/>
    </row>
    <row r="575" spans="7:7" x14ac:dyDescent="0.25">
      <c r="G575" s="36"/>
    </row>
    <row r="576" spans="7:7" x14ac:dyDescent="0.25">
      <c r="G576" s="36"/>
    </row>
    <row r="577" spans="7:7" x14ac:dyDescent="0.25">
      <c r="G577" s="36"/>
    </row>
    <row r="578" spans="7:7" x14ac:dyDescent="0.25">
      <c r="G578" s="36"/>
    </row>
    <row r="579" spans="7:7" x14ac:dyDescent="0.25">
      <c r="G579" s="36"/>
    </row>
    <row r="580" spans="7:7" x14ac:dyDescent="0.25">
      <c r="G580" s="36"/>
    </row>
    <row r="581" spans="7:7" x14ac:dyDescent="0.25">
      <c r="G581" s="36"/>
    </row>
    <row r="582" spans="7:7" x14ac:dyDescent="0.25">
      <c r="G582" s="36"/>
    </row>
    <row r="583" spans="7:7" x14ac:dyDescent="0.25">
      <c r="G583" s="36"/>
    </row>
    <row r="584" spans="7:7" x14ac:dyDescent="0.25">
      <c r="G584" s="36"/>
    </row>
    <row r="585" spans="7:7" x14ac:dyDescent="0.25">
      <c r="G585" s="36"/>
    </row>
    <row r="586" spans="7:7" x14ac:dyDescent="0.25">
      <c r="G586" s="36"/>
    </row>
    <row r="587" spans="7:7" x14ac:dyDescent="0.25">
      <c r="G587" s="36"/>
    </row>
    <row r="588" spans="7:7" x14ac:dyDescent="0.25">
      <c r="G588" s="36"/>
    </row>
    <row r="589" spans="7:7" x14ac:dyDescent="0.25">
      <c r="G589" s="36"/>
    </row>
    <row r="590" spans="7:7" x14ac:dyDescent="0.25">
      <c r="G590" s="36"/>
    </row>
    <row r="591" spans="7:7" x14ac:dyDescent="0.25">
      <c r="G591" s="36"/>
    </row>
    <row r="592" spans="7:7" x14ac:dyDescent="0.25">
      <c r="G592" s="36"/>
    </row>
    <row r="593" spans="7:7" x14ac:dyDescent="0.25">
      <c r="G593" s="36"/>
    </row>
    <row r="594" spans="7:7" x14ac:dyDescent="0.25">
      <c r="G594" s="36"/>
    </row>
    <row r="595" spans="7:7" x14ac:dyDescent="0.25">
      <c r="G595" s="36"/>
    </row>
    <row r="596" spans="7:7" x14ac:dyDescent="0.25">
      <c r="G596" s="36"/>
    </row>
    <row r="597" spans="7:7" x14ac:dyDescent="0.25">
      <c r="G597" s="36"/>
    </row>
    <row r="598" spans="7:7" x14ac:dyDescent="0.25">
      <c r="G598" s="36"/>
    </row>
    <row r="599" spans="7:7" x14ac:dyDescent="0.25">
      <c r="G599" s="36"/>
    </row>
    <row r="600" spans="7:7" x14ac:dyDescent="0.25">
      <c r="G600" s="36"/>
    </row>
    <row r="601" spans="7:7" x14ac:dyDescent="0.25">
      <c r="G601" s="36"/>
    </row>
    <row r="602" spans="7:7" x14ac:dyDescent="0.25">
      <c r="G602" s="36"/>
    </row>
    <row r="603" spans="7:7" x14ac:dyDescent="0.25">
      <c r="G603" s="36"/>
    </row>
    <row r="604" spans="7:7" x14ac:dyDescent="0.25">
      <c r="G604" s="36"/>
    </row>
    <row r="605" spans="7:7" x14ac:dyDescent="0.25">
      <c r="G605" s="36"/>
    </row>
    <row r="606" spans="7:7" x14ac:dyDescent="0.25">
      <c r="G606" s="36"/>
    </row>
    <row r="607" spans="7:7" x14ac:dyDescent="0.25">
      <c r="G607" s="36"/>
    </row>
    <row r="608" spans="7:7" x14ac:dyDescent="0.25">
      <c r="G608" s="36"/>
    </row>
    <row r="609" spans="7:7" x14ac:dyDescent="0.25">
      <c r="G609" s="36"/>
    </row>
    <row r="610" spans="7:7" x14ac:dyDescent="0.25">
      <c r="G610" s="36"/>
    </row>
    <row r="611" spans="7:7" x14ac:dyDescent="0.25">
      <c r="G611" s="36"/>
    </row>
    <row r="612" spans="7:7" x14ac:dyDescent="0.25">
      <c r="G612" s="36"/>
    </row>
    <row r="613" spans="7:7" x14ac:dyDescent="0.25">
      <c r="G613" s="36"/>
    </row>
    <row r="614" spans="7:7" x14ac:dyDescent="0.25">
      <c r="G614" s="36"/>
    </row>
    <row r="615" spans="7:7" x14ac:dyDescent="0.25">
      <c r="G615" s="36"/>
    </row>
    <row r="616" spans="7:7" x14ac:dyDescent="0.25">
      <c r="G616" s="36"/>
    </row>
    <row r="617" spans="7:7" x14ac:dyDescent="0.25">
      <c r="G617" s="36"/>
    </row>
    <row r="618" spans="7:7" x14ac:dyDescent="0.25">
      <c r="G618" s="36"/>
    </row>
    <row r="619" spans="7:7" x14ac:dyDescent="0.25">
      <c r="G619" s="36"/>
    </row>
    <row r="620" spans="7:7" x14ac:dyDescent="0.25">
      <c r="G620" s="36"/>
    </row>
    <row r="621" spans="7:7" x14ac:dyDescent="0.25">
      <c r="G621" s="36"/>
    </row>
    <row r="622" spans="7:7" x14ac:dyDescent="0.25">
      <c r="G622" s="36"/>
    </row>
    <row r="623" spans="7:7" x14ac:dyDescent="0.25">
      <c r="G623" s="36"/>
    </row>
    <row r="624" spans="7:7" x14ac:dyDescent="0.25">
      <c r="G624" s="36"/>
    </row>
    <row r="625" spans="7:7" x14ac:dyDescent="0.25">
      <c r="G625" s="36"/>
    </row>
    <row r="626" spans="7:7" x14ac:dyDescent="0.25">
      <c r="G626" s="36"/>
    </row>
    <row r="627" spans="7:7" x14ac:dyDescent="0.25">
      <c r="G627" s="36"/>
    </row>
    <row r="628" spans="7:7" x14ac:dyDescent="0.25">
      <c r="G628" s="36"/>
    </row>
    <row r="629" spans="7:7" x14ac:dyDescent="0.25">
      <c r="G629" s="36"/>
    </row>
    <row r="630" spans="7:7" x14ac:dyDescent="0.25">
      <c r="G630" s="36"/>
    </row>
    <row r="631" spans="7:7" x14ac:dyDescent="0.25">
      <c r="G631" s="36"/>
    </row>
    <row r="632" spans="7:7" x14ac:dyDescent="0.25">
      <c r="G632" s="36"/>
    </row>
    <row r="633" spans="7:7" x14ac:dyDescent="0.25">
      <c r="G633" s="36"/>
    </row>
    <row r="634" spans="7:7" x14ac:dyDescent="0.25">
      <c r="G634" s="36"/>
    </row>
    <row r="635" spans="7:7" x14ac:dyDescent="0.25">
      <c r="G635" s="36"/>
    </row>
    <row r="636" spans="7:7" x14ac:dyDescent="0.25">
      <c r="G636" s="36"/>
    </row>
    <row r="637" spans="7:7" x14ac:dyDescent="0.25">
      <c r="G637" s="36"/>
    </row>
    <row r="638" spans="7:7" x14ac:dyDescent="0.25">
      <c r="G638" s="36"/>
    </row>
    <row r="639" spans="7:7" x14ac:dyDescent="0.25">
      <c r="G639" s="36"/>
    </row>
    <row r="640" spans="7:7" x14ac:dyDescent="0.25">
      <c r="G640" s="36"/>
    </row>
    <row r="641" spans="7:7" x14ac:dyDescent="0.25">
      <c r="G641" s="36"/>
    </row>
    <row r="642" spans="7:7" x14ac:dyDescent="0.25">
      <c r="G642" s="36"/>
    </row>
    <row r="643" spans="7:7" x14ac:dyDescent="0.25">
      <c r="G643" s="36"/>
    </row>
    <row r="644" spans="7:7" x14ac:dyDescent="0.25">
      <c r="G644" s="36"/>
    </row>
    <row r="645" spans="7:7" x14ac:dyDescent="0.25">
      <c r="G645" s="36"/>
    </row>
    <row r="646" spans="7:7" x14ac:dyDescent="0.25">
      <c r="G646" s="36"/>
    </row>
    <row r="647" spans="7:7" x14ac:dyDescent="0.25">
      <c r="G647" s="36"/>
    </row>
    <row r="648" spans="7:7" x14ac:dyDescent="0.25">
      <c r="G648" s="36"/>
    </row>
    <row r="649" spans="7:7" x14ac:dyDescent="0.25">
      <c r="G649" s="36"/>
    </row>
    <row r="650" spans="7:7" x14ac:dyDescent="0.25">
      <c r="G650" s="36"/>
    </row>
    <row r="651" spans="7:7" x14ac:dyDescent="0.25">
      <c r="G651" s="36"/>
    </row>
    <row r="652" spans="7:7" x14ac:dyDescent="0.25">
      <c r="G652" s="36"/>
    </row>
    <row r="653" spans="7:7" x14ac:dyDescent="0.25">
      <c r="G653" s="36"/>
    </row>
    <row r="654" spans="7:7" x14ac:dyDescent="0.25">
      <c r="G654" s="36"/>
    </row>
    <row r="655" spans="7:7" x14ac:dyDescent="0.25">
      <c r="G655" s="36"/>
    </row>
    <row r="656" spans="7:7" x14ac:dyDescent="0.25">
      <c r="G656" s="36"/>
    </row>
    <row r="657" spans="7:7" x14ac:dyDescent="0.25">
      <c r="G657" s="36"/>
    </row>
    <row r="658" spans="7:7" x14ac:dyDescent="0.25">
      <c r="G658" s="36"/>
    </row>
    <row r="659" spans="7:7" x14ac:dyDescent="0.25">
      <c r="G659" s="36"/>
    </row>
    <row r="660" spans="7:7" x14ac:dyDescent="0.25">
      <c r="G660" s="36"/>
    </row>
    <row r="661" spans="7:7" x14ac:dyDescent="0.25">
      <c r="G661" s="36"/>
    </row>
    <row r="662" spans="7:7" x14ac:dyDescent="0.25">
      <c r="G662" s="36"/>
    </row>
    <row r="663" spans="7:7" x14ac:dyDescent="0.25">
      <c r="G663" s="36"/>
    </row>
    <row r="664" spans="7:7" x14ac:dyDescent="0.25">
      <c r="G664" s="36"/>
    </row>
    <row r="665" spans="7:7" x14ac:dyDescent="0.25">
      <c r="G665" s="36"/>
    </row>
    <row r="666" spans="7:7" x14ac:dyDescent="0.25">
      <c r="G666" s="36"/>
    </row>
    <row r="667" spans="7:7" x14ac:dyDescent="0.25">
      <c r="G667" s="36"/>
    </row>
    <row r="668" spans="7:7" x14ac:dyDescent="0.25">
      <c r="G668" s="36"/>
    </row>
    <row r="669" spans="7:7" x14ac:dyDescent="0.25">
      <c r="G669" s="36"/>
    </row>
    <row r="670" spans="7:7" x14ac:dyDescent="0.25">
      <c r="G670" s="36"/>
    </row>
    <row r="671" spans="7:7" x14ac:dyDescent="0.25">
      <c r="G671" s="36"/>
    </row>
    <row r="672" spans="7:7" x14ac:dyDescent="0.25">
      <c r="G672" s="36"/>
    </row>
    <row r="673" spans="7:7" x14ac:dyDescent="0.25">
      <c r="G673" s="36"/>
    </row>
    <row r="674" spans="7:7" x14ac:dyDescent="0.25">
      <c r="G674" s="36"/>
    </row>
    <row r="675" spans="7:7" x14ac:dyDescent="0.25">
      <c r="G675" s="36"/>
    </row>
    <row r="676" spans="7:7" x14ac:dyDescent="0.25">
      <c r="G676" s="36"/>
    </row>
    <row r="677" spans="7:7" x14ac:dyDescent="0.25">
      <c r="G677" s="36"/>
    </row>
    <row r="678" spans="7:7" x14ac:dyDescent="0.25">
      <c r="G678" s="36"/>
    </row>
    <row r="679" spans="7:7" x14ac:dyDescent="0.25">
      <c r="G679" s="36"/>
    </row>
    <row r="680" spans="7:7" x14ac:dyDescent="0.25">
      <c r="G680" s="36"/>
    </row>
    <row r="681" spans="7:7" x14ac:dyDescent="0.25">
      <c r="G681" s="36"/>
    </row>
    <row r="682" spans="7:7" x14ac:dyDescent="0.25">
      <c r="G682" s="36"/>
    </row>
    <row r="683" spans="7:7" x14ac:dyDescent="0.25">
      <c r="G683" s="36"/>
    </row>
    <row r="684" spans="7:7" x14ac:dyDescent="0.25">
      <c r="G684" s="36"/>
    </row>
    <row r="685" spans="7:7" x14ac:dyDescent="0.25">
      <c r="G685" s="36"/>
    </row>
    <row r="686" spans="7:7" x14ac:dyDescent="0.25">
      <c r="G686" s="36"/>
    </row>
    <row r="687" spans="7:7" x14ac:dyDescent="0.25">
      <c r="G687" s="36"/>
    </row>
    <row r="688" spans="7:7" x14ac:dyDescent="0.25">
      <c r="G688" s="36"/>
    </row>
    <row r="689" spans="7:7" x14ac:dyDescent="0.25">
      <c r="G689" s="36"/>
    </row>
    <row r="690" spans="7:7" x14ac:dyDescent="0.25">
      <c r="G690" s="36"/>
    </row>
    <row r="691" spans="7:7" x14ac:dyDescent="0.25">
      <c r="G691" s="36"/>
    </row>
    <row r="692" spans="7:7" x14ac:dyDescent="0.25">
      <c r="G692" s="36"/>
    </row>
    <row r="693" spans="7:7" x14ac:dyDescent="0.25">
      <c r="G693" s="36"/>
    </row>
    <row r="694" spans="7:7" x14ac:dyDescent="0.25">
      <c r="G694" s="36"/>
    </row>
    <row r="695" spans="7:7" x14ac:dyDescent="0.25">
      <c r="G695" s="36"/>
    </row>
    <row r="696" spans="7:7" x14ac:dyDescent="0.25">
      <c r="G696" s="36"/>
    </row>
    <row r="697" spans="7:7" x14ac:dyDescent="0.25">
      <c r="G697" s="36"/>
    </row>
    <row r="698" spans="7:7" x14ac:dyDescent="0.25">
      <c r="G698" s="36"/>
    </row>
    <row r="699" spans="7:7" x14ac:dyDescent="0.25">
      <c r="G699" s="36"/>
    </row>
    <row r="700" spans="7:7" x14ac:dyDescent="0.25">
      <c r="G700" s="36"/>
    </row>
    <row r="701" spans="7:7" x14ac:dyDescent="0.25">
      <c r="G701" s="36"/>
    </row>
    <row r="702" spans="7:7" x14ac:dyDescent="0.25">
      <c r="G702" s="36"/>
    </row>
    <row r="703" spans="7:7" x14ac:dyDescent="0.25">
      <c r="G703" s="36"/>
    </row>
    <row r="704" spans="7:7" x14ac:dyDescent="0.25">
      <c r="G704" s="36"/>
    </row>
    <row r="705" spans="7:7" x14ac:dyDescent="0.25">
      <c r="G705" s="36"/>
    </row>
    <row r="706" spans="7:7" x14ac:dyDescent="0.25">
      <c r="G706" s="36"/>
    </row>
    <row r="707" spans="7:7" x14ac:dyDescent="0.25">
      <c r="G707" s="36"/>
    </row>
    <row r="708" spans="7:7" x14ac:dyDescent="0.25">
      <c r="G708" s="36"/>
    </row>
    <row r="709" spans="7:7" x14ac:dyDescent="0.25">
      <c r="G709" s="36"/>
    </row>
    <row r="710" spans="7:7" x14ac:dyDescent="0.25">
      <c r="G710" s="36"/>
    </row>
    <row r="711" spans="7:7" x14ac:dyDescent="0.25">
      <c r="G711" s="36"/>
    </row>
    <row r="712" spans="7:7" x14ac:dyDescent="0.25">
      <c r="G712" s="36"/>
    </row>
    <row r="713" spans="7:7" x14ac:dyDescent="0.25">
      <c r="G713" s="36"/>
    </row>
    <row r="714" spans="7:7" x14ac:dyDescent="0.25">
      <c r="G714" s="36"/>
    </row>
    <row r="715" spans="7:7" x14ac:dyDescent="0.25">
      <c r="G715" s="36"/>
    </row>
    <row r="716" spans="7:7" x14ac:dyDescent="0.25">
      <c r="G716" s="36"/>
    </row>
    <row r="717" spans="7:7" x14ac:dyDescent="0.25">
      <c r="G717" s="36"/>
    </row>
    <row r="718" spans="7:7" x14ac:dyDescent="0.25">
      <c r="G718" s="36"/>
    </row>
    <row r="719" spans="7:7" x14ac:dyDescent="0.25">
      <c r="G719" s="36"/>
    </row>
    <row r="720" spans="7:7" x14ac:dyDescent="0.25">
      <c r="G720" s="36"/>
    </row>
    <row r="721" spans="7:7" x14ac:dyDescent="0.25">
      <c r="G721" s="36"/>
    </row>
    <row r="722" spans="7:7" x14ac:dyDescent="0.25">
      <c r="G722" s="36"/>
    </row>
    <row r="723" spans="7:7" x14ac:dyDescent="0.25">
      <c r="G723" s="36"/>
    </row>
    <row r="724" spans="7:7" x14ac:dyDescent="0.25">
      <c r="G724" s="36"/>
    </row>
    <row r="725" spans="7:7" x14ac:dyDescent="0.25">
      <c r="G725" s="36"/>
    </row>
    <row r="726" spans="7:7" x14ac:dyDescent="0.25">
      <c r="G726" s="36"/>
    </row>
    <row r="727" spans="7:7" x14ac:dyDescent="0.25">
      <c r="G727" s="36"/>
    </row>
    <row r="728" spans="7:7" x14ac:dyDescent="0.25">
      <c r="G728" s="36"/>
    </row>
    <row r="729" spans="7:7" x14ac:dyDescent="0.25">
      <c r="G729" s="36"/>
    </row>
    <row r="730" spans="7:7" x14ac:dyDescent="0.25">
      <c r="G730" s="36"/>
    </row>
    <row r="731" spans="7:7" x14ac:dyDescent="0.25">
      <c r="G731" s="36"/>
    </row>
    <row r="732" spans="7:7" x14ac:dyDescent="0.25">
      <c r="G732" s="36"/>
    </row>
    <row r="733" spans="7:7" x14ac:dyDescent="0.25">
      <c r="G733" s="36"/>
    </row>
    <row r="734" spans="7:7" x14ac:dyDescent="0.25">
      <c r="G734" s="36"/>
    </row>
    <row r="735" spans="7:7" x14ac:dyDescent="0.25">
      <c r="G735" s="36"/>
    </row>
    <row r="736" spans="7:7" x14ac:dyDescent="0.25">
      <c r="G736" s="36"/>
    </row>
    <row r="737" spans="7:7" x14ac:dyDescent="0.25">
      <c r="G737" s="36"/>
    </row>
    <row r="738" spans="7:7" x14ac:dyDescent="0.25">
      <c r="G738" s="36"/>
    </row>
    <row r="739" spans="7:7" x14ac:dyDescent="0.25">
      <c r="G739" s="36"/>
    </row>
    <row r="740" spans="7:7" x14ac:dyDescent="0.25">
      <c r="G740" s="36"/>
    </row>
    <row r="741" spans="7:7" x14ac:dyDescent="0.25">
      <c r="G741" s="36"/>
    </row>
    <row r="742" spans="7:7" x14ac:dyDescent="0.25">
      <c r="G742" s="36"/>
    </row>
    <row r="743" spans="7:7" x14ac:dyDescent="0.25">
      <c r="G743" s="36"/>
    </row>
    <row r="744" spans="7:7" x14ac:dyDescent="0.25">
      <c r="G744" s="36"/>
    </row>
    <row r="745" spans="7:7" x14ac:dyDescent="0.25">
      <c r="G745" s="36"/>
    </row>
    <row r="746" spans="7:7" x14ac:dyDescent="0.25">
      <c r="G746" s="36"/>
    </row>
    <row r="747" spans="7:7" x14ac:dyDescent="0.25">
      <c r="G747" s="36"/>
    </row>
    <row r="748" spans="7:7" x14ac:dyDescent="0.25">
      <c r="G748" s="36"/>
    </row>
    <row r="749" spans="7:7" x14ac:dyDescent="0.25">
      <c r="G749" s="36"/>
    </row>
    <row r="750" spans="7:7" x14ac:dyDescent="0.25">
      <c r="G750" s="36"/>
    </row>
    <row r="751" spans="7:7" x14ac:dyDescent="0.25">
      <c r="G751" s="36"/>
    </row>
    <row r="752" spans="7:7" x14ac:dyDescent="0.25">
      <c r="G752" s="36"/>
    </row>
    <row r="753" spans="7:7" x14ac:dyDescent="0.25">
      <c r="G753" s="36"/>
    </row>
    <row r="754" spans="7:7" x14ac:dyDescent="0.25">
      <c r="G754" s="36"/>
    </row>
    <row r="755" spans="7:7" x14ac:dyDescent="0.25">
      <c r="G755" s="36"/>
    </row>
    <row r="756" spans="7:7" x14ac:dyDescent="0.25">
      <c r="G756" s="36"/>
    </row>
    <row r="757" spans="7:7" x14ac:dyDescent="0.25">
      <c r="G757" s="36"/>
    </row>
    <row r="758" spans="7:7" x14ac:dyDescent="0.25">
      <c r="G758" s="36"/>
    </row>
    <row r="759" spans="7:7" x14ac:dyDescent="0.25">
      <c r="G759" s="36"/>
    </row>
    <row r="760" spans="7:7" x14ac:dyDescent="0.25">
      <c r="G760" s="36"/>
    </row>
    <row r="761" spans="7:7" x14ac:dyDescent="0.25">
      <c r="G761" s="36"/>
    </row>
    <row r="762" spans="7:7" x14ac:dyDescent="0.25">
      <c r="G762" s="36"/>
    </row>
    <row r="763" spans="7:7" x14ac:dyDescent="0.25">
      <c r="G763" s="36"/>
    </row>
    <row r="764" spans="7:7" x14ac:dyDescent="0.25">
      <c r="G764" s="36"/>
    </row>
    <row r="765" spans="7:7" x14ac:dyDescent="0.25">
      <c r="G765" s="36"/>
    </row>
    <row r="766" spans="7:7" x14ac:dyDescent="0.25">
      <c r="G766" s="36"/>
    </row>
    <row r="767" spans="7:7" x14ac:dyDescent="0.25">
      <c r="G767" s="36"/>
    </row>
    <row r="768" spans="7:7" x14ac:dyDescent="0.25">
      <c r="G768" s="36"/>
    </row>
    <row r="769" spans="7:7" x14ac:dyDescent="0.25">
      <c r="G769" s="36"/>
    </row>
    <row r="770" spans="7:7" x14ac:dyDescent="0.25">
      <c r="G770" s="36"/>
    </row>
    <row r="771" spans="7:7" x14ac:dyDescent="0.25">
      <c r="G771" s="36"/>
    </row>
    <row r="772" spans="7:7" x14ac:dyDescent="0.25">
      <c r="G772" s="36"/>
    </row>
    <row r="773" spans="7:7" x14ac:dyDescent="0.25">
      <c r="G773" s="36"/>
    </row>
    <row r="774" spans="7:7" x14ac:dyDescent="0.25">
      <c r="G774" s="36"/>
    </row>
    <row r="775" spans="7:7" x14ac:dyDescent="0.25">
      <c r="G775" s="36"/>
    </row>
    <row r="776" spans="7:7" x14ac:dyDescent="0.25">
      <c r="G776" s="36"/>
    </row>
    <row r="777" spans="7:7" x14ac:dyDescent="0.25">
      <c r="G777" s="36"/>
    </row>
    <row r="778" spans="7:7" x14ac:dyDescent="0.25">
      <c r="G778" s="36"/>
    </row>
    <row r="779" spans="7:7" x14ac:dyDescent="0.25">
      <c r="G779" s="36"/>
    </row>
    <row r="780" spans="7:7" x14ac:dyDescent="0.25">
      <c r="G780" s="36"/>
    </row>
    <row r="781" spans="7:7" x14ac:dyDescent="0.25">
      <c r="G781" s="36"/>
    </row>
    <row r="782" spans="7:7" x14ac:dyDescent="0.25">
      <c r="G782" s="36"/>
    </row>
    <row r="783" spans="7:7" x14ac:dyDescent="0.25">
      <c r="G783" s="36"/>
    </row>
    <row r="784" spans="7:7" x14ac:dyDescent="0.25">
      <c r="G784" s="36"/>
    </row>
    <row r="785" spans="7:7" x14ac:dyDescent="0.25">
      <c r="G785" s="36"/>
    </row>
    <row r="786" spans="7:7" x14ac:dyDescent="0.25">
      <c r="G786" s="36"/>
    </row>
    <row r="787" spans="7:7" x14ac:dyDescent="0.25">
      <c r="G787" s="36"/>
    </row>
    <row r="788" spans="7:7" x14ac:dyDescent="0.25">
      <c r="G788" s="36"/>
    </row>
    <row r="789" spans="7:7" x14ac:dyDescent="0.25">
      <c r="G789" s="36"/>
    </row>
    <row r="790" spans="7:7" x14ac:dyDescent="0.25">
      <c r="G790" s="36"/>
    </row>
    <row r="791" spans="7:7" x14ac:dyDescent="0.25">
      <c r="G791" s="36"/>
    </row>
    <row r="792" spans="7:7" x14ac:dyDescent="0.25">
      <c r="G792" s="36"/>
    </row>
    <row r="793" spans="7:7" x14ac:dyDescent="0.25">
      <c r="G793" s="36"/>
    </row>
    <row r="794" spans="7:7" x14ac:dyDescent="0.25">
      <c r="G794" s="36"/>
    </row>
    <row r="795" spans="7:7" x14ac:dyDescent="0.25">
      <c r="G795" s="36"/>
    </row>
    <row r="796" spans="7:7" x14ac:dyDescent="0.25">
      <c r="G796" s="36"/>
    </row>
    <row r="797" spans="7:7" x14ac:dyDescent="0.25">
      <c r="G797" s="36"/>
    </row>
    <row r="798" spans="7:7" x14ac:dyDescent="0.25">
      <c r="G798" s="36"/>
    </row>
    <row r="799" spans="7:7" x14ac:dyDescent="0.25">
      <c r="G799" s="36"/>
    </row>
    <row r="800" spans="7:7" x14ac:dyDescent="0.25">
      <c r="G800" s="36"/>
    </row>
    <row r="801" spans="7:7" x14ac:dyDescent="0.25">
      <c r="G801" s="36"/>
    </row>
    <row r="802" spans="7:7" x14ac:dyDescent="0.25">
      <c r="G802" s="36"/>
    </row>
    <row r="803" spans="7:7" x14ac:dyDescent="0.25">
      <c r="G803" s="36"/>
    </row>
    <row r="804" spans="7:7" x14ac:dyDescent="0.25">
      <c r="G804" s="36"/>
    </row>
    <row r="805" spans="7:7" x14ac:dyDescent="0.25">
      <c r="G805" s="36"/>
    </row>
    <row r="806" spans="7:7" x14ac:dyDescent="0.25">
      <c r="G806" s="36"/>
    </row>
    <row r="807" spans="7:7" x14ac:dyDescent="0.25">
      <c r="G807" s="36"/>
    </row>
    <row r="808" spans="7:7" x14ac:dyDescent="0.25">
      <c r="G808" s="36"/>
    </row>
    <row r="809" spans="7:7" x14ac:dyDescent="0.25">
      <c r="G809" s="36"/>
    </row>
    <row r="810" spans="7:7" x14ac:dyDescent="0.25">
      <c r="G810" s="36"/>
    </row>
    <row r="811" spans="7:7" x14ac:dyDescent="0.25">
      <c r="G811" s="36"/>
    </row>
    <row r="812" spans="7:7" x14ac:dyDescent="0.25">
      <c r="G812" s="36"/>
    </row>
    <row r="813" spans="7:7" x14ac:dyDescent="0.25">
      <c r="G813" s="36"/>
    </row>
    <row r="814" spans="7:7" x14ac:dyDescent="0.25">
      <c r="G814" s="36"/>
    </row>
    <row r="815" spans="7:7" x14ac:dyDescent="0.25">
      <c r="G815" s="36"/>
    </row>
    <row r="816" spans="7:7" x14ac:dyDescent="0.25">
      <c r="G816" s="36"/>
    </row>
    <row r="817" spans="7:7" x14ac:dyDescent="0.25">
      <c r="G817" s="36"/>
    </row>
    <row r="818" spans="7:7" x14ac:dyDescent="0.25">
      <c r="G818" s="36"/>
    </row>
    <row r="819" spans="7:7" x14ac:dyDescent="0.25">
      <c r="G819" s="36"/>
    </row>
    <row r="820" spans="7:7" x14ac:dyDescent="0.25">
      <c r="G820" s="36"/>
    </row>
    <row r="821" spans="7:7" x14ac:dyDescent="0.25">
      <c r="G821" s="36"/>
    </row>
    <row r="822" spans="7:7" x14ac:dyDescent="0.25">
      <c r="G822" s="36"/>
    </row>
    <row r="823" spans="7:7" x14ac:dyDescent="0.25">
      <c r="G823" s="36"/>
    </row>
    <row r="824" spans="7:7" x14ac:dyDescent="0.25">
      <c r="G824" s="36"/>
    </row>
    <row r="825" spans="7:7" x14ac:dyDescent="0.25">
      <c r="G825" s="36"/>
    </row>
    <row r="826" spans="7:7" x14ac:dyDescent="0.25">
      <c r="G826" s="36"/>
    </row>
    <row r="827" spans="7:7" x14ac:dyDescent="0.25">
      <c r="G827" s="36"/>
    </row>
    <row r="828" spans="7:7" x14ac:dyDescent="0.25">
      <c r="G828" s="36"/>
    </row>
    <row r="829" spans="7:7" x14ac:dyDescent="0.25">
      <c r="G829" s="36"/>
    </row>
    <row r="830" spans="7:7" x14ac:dyDescent="0.25">
      <c r="G830" s="36"/>
    </row>
    <row r="831" spans="7:7" x14ac:dyDescent="0.25">
      <c r="G831" s="36"/>
    </row>
    <row r="832" spans="7:7" x14ac:dyDescent="0.25">
      <c r="G832" s="36"/>
    </row>
    <row r="833" spans="7:7" x14ac:dyDescent="0.25">
      <c r="G833" s="36"/>
    </row>
    <row r="834" spans="7:7" x14ac:dyDescent="0.25">
      <c r="G834" s="36"/>
    </row>
    <row r="835" spans="7:7" x14ac:dyDescent="0.25">
      <c r="G835" s="36"/>
    </row>
    <row r="836" spans="7:7" x14ac:dyDescent="0.25">
      <c r="G836" s="36"/>
    </row>
    <row r="837" spans="7:7" x14ac:dyDescent="0.25">
      <c r="G837" s="36"/>
    </row>
    <row r="838" spans="7:7" x14ac:dyDescent="0.25">
      <c r="G838" s="36"/>
    </row>
    <row r="839" spans="7:7" x14ac:dyDescent="0.25">
      <c r="G839" s="36"/>
    </row>
    <row r="840" spans="7:7" x14ac:dyDescent="0.25">
      <c r="G840" s="36"/>
    </row>
    <row r="841" spans="7:7" x14ac:dyDescent="0.25">
      <c r="G841" s="36"/>
    </row>
    <row r="842" spans="7:7" x14ac:dyDescent="0.25">
      <c r="G842" s="36"/>
    </row>
    <row r="843" spans="7:7" x14ac:dyDescent="0.25">
      <c r="G843" s="36"/>
    </row>
    <row r="844" spans="7:7" x14ac:dyDescent="0.25">
      <c r="G844" s="36"/>
    </row>
    <row r="845" spans="7:7" x14ac:dyDescent="0.25">
      <c r="G845" s="36"/>
    </row>
    <row r="846" spans="7:7" x14ac:dyDescent="0.25">
      <c r="G846" s="36"/>
    </row>
    <row r="847" spans="7:7" x14ac:dyDescent="0.25">
      <c r="G847" s="36"/>
    </row>
    <row r="848" spans="7:7" x14ac:dyDescent="0.25">
      <c r="G848" s="36"/>
    </row>
    <row r="849" spans="7:7" x14ac:dyDescent="0.25">
      <c r="G849" s="36"/>
    </row>
    <row r="850" spans="7:7" x14ac:dyDescent="0.25">
      <c r="G850" s="36"/>
    </row>
    <row r="851" spans="7:7" x14ac:dyDescent="0.25">
      <c r="G851" s="36"/>
    </row>
    <row r="852" spans="7:7" x14ac:dyDescent="0.25">
      <c r="G852" s="36"/>
    </row>
    <row r="853" spans="7:7" x14ac:dyDescent="0.25">
      <c r="G853" s="36"/>
    </row>
    <row r="854" spans="7:7" x14ac:dyDescent="0.25">
      <c r="G854" s="36"/>
    </row>
    <row r="855" spans="7:7" x14ac:dyDescent="0.25">
      <c r="G855" s="36"/>
    </row>
    <row r="856" spans="7:7" x14ac:dyDescent="0.25">
      <c r="G856" s="36"/>
    </row>
    <row r="857" spans="7:7" x14ac:dyDescent="0.25">
      <c r="G857" s="36"/>
    </row>
    <row r="858" spans="7:7" x14ac:dyDescent="0.25">
      <c r="G858" s="36"/>
    </row>
    <row r="859" spans="7:7" x14ac:dyDescent="0.25">
      <c r="G859" s="36"/>
    </row>
    <row r="860" spans="7:7" x14ac:dyDescent="0.25">
      <c r="G860" s="36"/>
    </row>
    <row r="861" spans="7:7" x14ac:dyDescent="0.25">
      <c r="G861" s="36"/>
    </row>
    <row r="862" spans="7:7" x14ac:dyDescent="0.25">
      <c r="G862" s="36"/>
    </row>
    <row r="863" spans="7:7" x14ac:dyDescent="0.25">
      <c r="G863" s="36"/>
    </row>
    <row r="864" spans="7:7" x14ac:dyDescent="0.25">
      <c r="G864" s="36"/>
    </row>
    <row r="865" spans="7:7" x14ac:dyDescent="0.25">
      <c r="G865" s="36"/>
    </row>
    <row r="866" spans="7:7" x14ac:dyDescent="0.25">
      <c r="G866" s="36"/>
    </row>
    <row r="867" spans="7:7" x14ac:dyDescent="0.25">
      <c r="G867" s="36"/>
    </row>
    <row r="868" spans="7:7" x14ac:dyDescent="0.25">
      <c r="G868" s="36"/>
    </row>
    <row r="869" spans="7:7" x14ac:dyDescent="0.25">
      <c r="G869" s="36"/>
    </row>
    <row r="870" spans="7:7" x14ac:dyDescent="0.25">
      <c r="G870" s="36"/>
    </row>
    <row r="871" spans="7:7" x14ac:dyDescent="0.25">
      <c r="G871" s="36"/>
    </row>
    <row r="872" spans="7:7" x14ac:dyDescent="0.25">
      <c r="G872" s="36"/>
    </row>
    <row r="873" spans="7:7" x14ac:dyDescent="0.25">
      <c r="G873" s="36"/>
    </row>
    <row r="874" spans="7:7" x14ac:dyDescent="0.25">
      <c r="G874" s="36"/>
    </row>
    <row r="875" spans="7:7" x14ac:dyDescent="0.25">
      <c r="G875" s="36"/>
    </row>
    <row r="876" spans="7:7" x14ac:dyDescent="0.25">
      <c r="G876" s="36"/>
    </row>
    <row r="877" spans="7:7" x14ac:dyDescent="0.25">
      <c r="G877" s="36"/>
    </row>
    <row r="878" spans="7:7" x14ac:dyDescent="0.25">
      <c r="G878" s="36"/>
    </row>
    <row r="879" spans="7:7" x14ac:dyDescent="0.25">
      <c r="G879" s="36"/>
    </row>
    <row r="880" spans="7:7" x14ac:dyDescent="0.25">
      <c r="G880" s="36"/>
    </row>
    <row r="881" spans="7:7" x14ac:dyDescent="0.25">
      <c r="G881" s="36"/>
    </row>
    <row r="882" spans="7:7" x14ac:dyDescent="0.25">
      <c r="G882" s="36"/>
    </row>
    <row r="883" spans="7:7" x14ac:dyDescent="0.25">
      <c r="G883" s="36"/>
    </row>
    <row r="884" spans="7:7" x14ac:dyDescent="0.25">
      <c r="G884" s="36"/>
    </row>
    <row r="885" spans="7:7" x14ac:dyDescent="0.25">
      <c r="G885" s="36"/>
    </row>
    <row r="886" spans="7:7" x14ac:dyDescent="0.25">
      <c r="G886" s="36"/>
    </row>
    <row r="887" spans="7:7" x14ac:dyDescent="0.25">
      <c r="G887" s="36"/>
    </row>
    <row r="888" spans="7:7" x14ac:dyDescent="0.25">
      <c r="G888" s="36"/>
    </row>
    <row r="889" spans="7:7" x14ac:dyDescent="0.25">
      <c r="G889" s="36"/>
    </row>
    <row r="890" spans="7:7" x14ac:dyDescent="0.25">
      <c r="G890" s="36"/>
    </row>
    <row r="891" spans="7:7" x14ac:dyDescent="0.25">
      <c r="G891" s="36"/>
    </row>
    <row r="892" spans="7:7" x14ac:dyDescent="0.25">
      <c r="G892" s="36"/>
    </row>
    <row r="893" spans="7:7" x14ac:dyDescent="0.25">
      <c r="G893" s="36"/>
    </row>
    <row r="894" spans="7:7" x14ac:dyDescent="0.25">
      <c r="G894" s="36"/>
    </row>
    <row r="895" spans="7:7" x14ac:dyDescent="0.25">
      <c r="G895" s="36"/>
    </row>
    <row r="896" spans="7:7" x14ac:dyDescent="0.25">
      <c r="G896" s="36"/>
    </row>
    <row r="897" spans="7:7" x14ac:dyDescent="0.25">
      <c r="G897" s="36"/>
    </row>
    <row r="898" spans="7:7" x14ac:dyDescent="0.25">
      <c r="G898" s="36"/>
    </row>
    <row r="899" spans="7:7" x14ac:dyDescent="0.25">
      <c r="G899" s="36"/>
    </row>
    <row r="900" spans="7:7" x14ac:dyDescent="0.25">
      <c r="G900" s="36"/>
    </row>
    <row r="901" spans="7:7" x14ac:dyDescent="0.25">
      <c r="G901" s="36"/>
    </row>
    <row r="902" spans="7:7" x14ac:dyDescent="0.25">
      <c r="G902" s="36"/>
    </row>
    <row r="903" spans="7:7" x14ac:dyDescent="0.25">
      <c r="G903" s="36"/>
    </row>
    <row r="904" spans="7:7" x14ac:dyDescent="0.25">
      <c r="G904" s="36"/>
    </row>
    <row r="905" spans="7:7" x14ac:dyDescent="0.25">
      <c r="G905" s="36"/>
    </row>
    <row r="906" spans="7:7" x14ac:dyDescent="0.25">
      <c r="G906" s="36"/>
    </row>
    <row r="907" spans="7:7" x14ac:dyDescent="0.25">
      <c r="G907" s="36"/>
    </row>
    <row r="908" spans="7:7" x14ac:dyDescent="0.25">
      <c r="G908" s="36"/>
    </row>
    <row r="909" spans="7:7" x14ac:dyDescent="0.25">
      <c r="G909" s="36"/>
    </row>
    <row r="910" spans="7:7" x14ac:dyDescent="0.25">
      <c r="G910" s="36"/>
    </row>
    <row r="911" spans="7:7" x14ac:dyDescent="0.25">
      <c r="G911" s="36"/>
    </row>
    <row r="912" spans="7:7" x14ac:dyDescent="0.25">
      <c r="G912" s="36"/>
    </row>
    <row r="913" spans="7:7" x14ac:dyDescent="0.25">
      <c r="G913" s="36"/>
    </row>
    <row r="914" spans="7:7" x14ac:dyDescent="0.25">
      <c r="G914" s="36"/>
    </row>
    <row r="915" spans="7:7" x14ac:dyDescent="0.25">
      <c r="G915" s="36"/>
    </row>
    <row r="916" spans="7:7" x14ac:dyDescent="0.25">
      <c r="G916" s="36"/>
    </row>
    <row r="917" spans="7:7" x14ac:dyDescent="0.25">
      <c r="G917" s="36"/>
    </row>
    <row r="918" spans="7:7" x14ac:dyDescent="0.25">
      <c r="G918" s="36"/>
    </row>
    <row r="919" spans="7:7" x14ac:dyDescent="0.25">
      <c r="G919" s="36"/>
    </row>
    <row r="920" spans="7:7" x14ac:dyDescent="0.25">
      <c r="G920" s="36"/>
    </row>
    <row r="921" spans="7:7" x14ac:dyDescent="0.25">
      <c r="G921" s="36"/>
    </row>
    <row r="922" spans="7:7" x14ac:dyDescent="0.25">
      <c r="G922" s="36"/>
    </row>
    <row r="923" spans="7:7" x14ac:dyDescent="0.25">
      <c r="G923" s="36"/>
    </row>
    <row r="924" spans="7:7" x14ac:dyDescent="0.25">
      <c r="G924" s="36"/>
    </row>
    <row r="925" spans="7:7" x14ac:dyDescent="0.25">
      <c r="G925" s="36"/>
    </row>
    <row r="926" spans="7:7" x14ac:dyDescent="0.25">
      <c r="G926" s="36"/>
    </row>
    <row r="927" spans="7:7" x14ac:dyDescent="0.25">
      <c r="G927" s="36"/>
    </row>
    <row r="928" spans="7:7" x14ac:dyDescent="0.25">
      <c r="G928" s="36"/>
    </row>
    <row r="929" spans="7:7" x14ac:dyDescent="0.25">
      <c r="G929" s="36"/>
    </row>
    <row r="930" spans="7:7" x14ac:dyDescent="0.25">
      <c r="G930" s="36"/>
    </row>
    <row r="931" spans="7:7" x14ac:dyDescent="0.25">
      <c r="G931" s="36"/>
    </row>
    <row r="932" spans="7:7" x14ac:dyDescent="0.25">
      <c r="G932" s="36"/>
    </row>
    <row r="933" spans="7:7" x14ac:dyDescent="0.25">
      <c r="G933" s="36"/>
    </row>
    <row r="934" spans="7:7" x14ac:dyDescent="0.25">
      <c r="G934" s="36"/>
    </row>
    <row r="935" spans="7:7" x14ac:dyDescent="0.25">
      <c r="G935" s="36"/>
    </row>
    <row r="936" spans="7:7" x14ac:dyDescent="0.25">
      <c r="G936" s="36"/>
    </row>
    <row r="937" spans="7:7" x14ac:dyDescent="0.25">
      <c r="G937" s="36"/>
    </row>
    <row r="938" spans="7:7" x14ac:dyDescent="0.25">
      <c r="G938" s="36"/>
    </row>
    <row r="939" spans="7:7" x14ac:dyDescent="0.25">
      <c r="G939" s="36"/>
    </row>
    <row r="940" spans="7:7" x14ac:dyDescent="0.25">
      <c r="G940" s="36"/>
    </row>
    <row r="941" spans="7:7" x14ac:dyDescent="0.25">
      <c r="G941" s="36"/>
    </row>
    <row r="942" spans="7:7" x14ac:dyDescent="0.25">
      <c r="G942" s="36"/>
    </row>
    <row r="943" spans="7:7" x14ac:dyDescent="0.25">
      <c r="G943" s="36"/>
    </row>
    <row r="944" spans="7:7" x14ac:dyDescent="0.25">
      <c r="G944" s="36"/>
    </row>
    <row r="945" spans="7:7" x14ac:dyDescent="0.25">
      <c r="G945" s="36"/>
    </row>
    <row r="946" spans="7:7" x14ac:dyDescent="0.25">
      <c r="G946" s="36"/>
    </row>
    <row r="947" spans="7:7" x14ac:dyDescent="0.25">
      <c r="G947" s="36"/>
    </row>
    <row r="948" spans="7:7" x14ac:dyDescent="0.25">
      <c r="G948" s="36"/>
    </row>
    <row r="949" spans="7:7" x14ac:dyDescent="0.25">
      <c r="G949" s="36"/>
    </row>
    <row r="950" spans="7:7" x14ac:dyDescent="0.25">
      <c r="G950" s="36"/>
    </row>
    <row r="951" spans="7:7" x14ac:dyDescent="0.25">
      <c r="G951" s="36"/>
    </row>
    <row r="952" spans="7:7" x14ac:dyDescent="0.25">
      <c r="G952" s="36"/>
    </row>
    <row r="953" spans="7:7" x14ac:dyDescent="0.25">
      <c r="G953" s="36"/>
    </row>
    <row r="954" spans="7:7" x14ac:dyDescent="0.25">
      <c r="G954" s="36"/>
    </row>
    <row r="955" spans="7:7" x14ac:dyDescent="0.25">
      <c r="G955" s="36"/>
    </row>
    <row r="956" spans="7:7" x14ac:dyDescent="0.25">
      <c r="G956" s="36"/>
    </row>
    <row r="957" spans="7:7" x14ac:dyDescent="0.25">
      <c r="G957" s="36"/>
    </row>
    <row r="958" spans="7:7" x14ac:dyDescent="0.25">
      <c r="G958" s="36"/>
    </row>
  </sheetData>
  <mergeCells count="1">
    <mergeCell ref="A1:C1"/>
  </mergeCells>
  <dataValidations count="3">
    <dataValidation type="whole" allowBlank="1" showInputMessage="1" showErrorMessage="1" prompt="Solo admite Números" sqref="D11 C2:C6" xr:uid="{00000000-0002-0000-0D00-000000000000}">
      <formula1>1</formula1>
      <formula2>9999999999</formula2>
    </dataValidation>
    <dataValidation type="textLength" allowBlank="1" showInputMessage="1" showErrorMessage="1" prompt="Caracteres  12 persona Moral,13 Persona Fisica" sqref="C11 B6" xr:uid="{00000000-0002-0000-0D00-000001000000}">
      <formula1>12</formula1>
      <formula2>13</formula2>
    </dataValidation>
    <dataValidation type="textLength" allowBlank="1" showInputMessage="1" showErrorMessage="1" prompt="Caracteres:  12 para personas Moral,13 Personas Fisica" sqref="B2:B5" xr:uid="{00000000-0002-0000-0D00-000002000000}">
      <formula1>12</formula1>
      <formula2>13</formula2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MS_Mappings xmlns="d7f26a1f-2b15-429c-946e-b844e4058b24" xsi:nil="true"/>
    <Invited_Teachers xmlns="d7f26a1f-2b15-429c-946e-b844e4058b24" xsi:nil="true"/>
    <IsNotebookLocked xmlns="d7f26a1f-2b15-429c-946e-b844e4058b24" xsi:nil="true"/>
    <DefaultSectionNames xmlns="d7f26a1f-2b15-429c-946e-b844e4058b24" xsi:nil="true"/>
    <Teachers xmlns="d7f26a1f-2b15-429c-946e-b844e4058b24">
      <UserInfo>
        <DisplayName/>
        <AccountId xsi:nil="true"/>
        <AccountType/>
      </UserInfo>
    </Teachers>
    <Distribution_Groups xmlns="d7f26a1f-2b15-429c-946e-b844e4058b24" xsi:nil="true"/>
    <Is_Collaboration_Space_Locked xmlns="d7f26a1f-2b15-429c-946e-b844e4058b24" xsi:nil="true"/>
    <CultureName xmlns="d7f26a1f-2b15-429c-946e-b844e4058b24" xsi:nil="true"/>
    <Templates xmlns="d7f26a1f-2b15-429c-946e-b844e4058b24" xsi:nil="true"/>
    <Self_Registration_Enabled xmlns="d7f26a1f-2b15-429c-946e-b844e4058b24" xsi:nil="true"/>
    <Student_Groups xmlns="d7f26a1f-2b15-429c-946e-b844e4058b24">
      <UserInfo>
        <DisplayName/>
        <AccountId xsi:nil="true"/>
        <AccountType/>
      </UserInfo>
    </Student_Groups>
    <TeamsChannelId xmlns="d7f26a1f-2b15-429c-946e-b844e4058b24" xsi:nil="true"/>
    <Math_Settings xmlns="d7f26a1f-2b15-429c-946e-b844e4058b24" xsi:nil="true"/>
    <NotebookType xmlns="d7f26a1f-2b15-429c-946e-b844e4058b24" xsi:nil="true"/>
    <AppVersion xmlns="d7f26a1f-2b15-429c-946e-b844e4058b24" xsi:nil="true"/>
    <Invited_Students xmlns="d7f26a1f-2b15-429c-946e-b844e4058b24" xsi:nil="true"/>
    <_activity xmlns="d7f26a1f-2b15-429c-946e-b844e4058b24" xsi:nil="true"/>
    <Has_Teacher_Only_SectionGroup xmlns="d7f26a1f-2b15-429c-946e-b844e4058b24" xsi:nil="true"/>
    <FolderType xmlns="d7f26a1f-2b15-429c-946e-b844e4058b24" xsi:nil="true"/>
    <Owner xmlns="d7f26a1f-2b15-429c-946e-b844e4058b24">
      <UserInfo>
        <DisplayName/>
        <AccountId xsi:nil="true"/>
        <AccountType/>
      </UserInfo>
    </Owner>
    <Students xmlns="d7f26a1f-2b15-429c-946e-b844e4058b24">
      <UserInfo>
        <DisplayName/>
        <AccountId xsi:nil="true"/>
        <AccountType/>
      </UserInfo>
    </Student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CC0623D538E534382D3C53F463F9050" ma:contentTypeVersion="38" ma:contentTypeDescription="Crear nuevo documento." ma:contentTypeScope="" ma:versionID="9b8e287d884dbc095c1c61aad4462656">
  <xsd:schema xmlns:xsd="http://www.w3.org/2001/XMLSchema" xmlns:xs="http://www.w3.org/2001/XMLSchema" xmlns:p="http://schemas.microsoft.com/office/2006/metadata/properties" xmlns:ns3="d7f26a1f-2b15-429c-946e-b844e4058b24" xmlns:ns4="6e93eb3d-aed2-401e-aea1-f0de296e05cb" targetNamespace="http://schemas.microsoft.com/office/2006/metadata/properties" ma:root="true" ma:fieldsID="a2611db8918d7b25ba503dae01590cc5" ns3:_="" ns4:_="">
    <xsd:import namespace="d7f26a1f-2b15-429c-946e-b844e4058b24"/>
    <xsd:import namespace="6e93eb3d-aed2-401e-aea1-f0de296e05cb"/>
    <xsd:element name="properties">
      <xsd:complexType>
        <xsd:sequence>
          <xsd:element name="documentManagement">
            <xsd:complexType>
              <xsd:all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f26a1f-2b15-429c-946e-b844e4058b24" elementFormDefault="qualified">
    <xsd:import namespace="http://schemas.microsoft.com/office/2006/documentManagement/types"/>
    <xsd:import namespace="http://schemas.microsoft.com/office/infopath/2007/PartnerControls"/>
    <xsd:element name="NotebookType" ma:index="8" nillable="true" ma:displayName="Notebook Type" ma:internalName="NotebookType">
      <xsd:simpleType>
        <xsd:restriction base="dms:Text"/>
      </xsd:simpleType>
    </xsd:element>
    <xsd:element name="FolderType" ma:index="9" nillable="true" ma:displayName="Folder Type" ma:internalName="FolderType">
      <xsd:simpleType>
        <xsd:restriction base="dms:Text"/>
      </xsd:simpleType>
    </xsd:element>
    <xsd:element name="CultureName" ma:index="10" nillable="true" ma:displayName="Culture Name" ma:internalName="CultureName">
      <xsd:simpleType>
        <xsd:restriction base="dms:Text"/>
      </xsd:simpleType>
    </xsd:element>
    <xsd:element name="AppVersion" ma:index="11" nillable="true" ma:displayName="App Version" ma:internalName="AppVersion">
      <xsd:simpleType>
        <xsd:restriction base="dms:Text"/>
      </xsd:simpleType>
    </xsd:element>
    <xsd:element name="TeamsChannelId" ma:index="12" nillable="true" ma:displayName="Teams Channel Id" ma:internalName="TeamsChannelId">
      <xsd:simpleType>
        <xsd:restriction base="dms:Text"/>
      </xsd:simpleType>
    </xsd:element>
    <xsd:element name="Owner" ma:index="13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14" nillable="true" ma:displayName="Math Settings" ma:internalName="Math_Settings">
      <xsd:simpleType>
        <xsd:restriction base="dms:Text"/>
      </xsd:simpleType>
    </xsd:element>
    <xsd:element name="DefaultSectionNames" ma:index="15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16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17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18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19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20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21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22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23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24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25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26" nillable="true" ma:displayName="Is Collaboration Space Locked" ma:internalName="Is_Collaboration_Space_Locked">
      <xsd:simpleType>
        <xsd:restriction base="dms:Boolean"/>
      </xsd:simpleType>
    </xsd:element>
    <xsd:element name="IsNotebookLocked" ma:index="27" nillable="true" ma:displayName="Is Notebook Locked" ma:internalName="IsNotebookLocked">
      <xsd:simpleType>
        <xsd:restriction base="dms:Boolean"/>
      </xsd:simpleType>
    </xsd:element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3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3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36" nillable="true" ma:displayName="Tags" ma:internalName="MediaServiceAutoTags" ma:readOnly="true">
      <xsd:simpleType>
        <xsd:restriction base="dms:Text"/>
      </xsd:simpleType>
    </xsd:element>
    <xsd:element name="MediaServiceOCR" ma:index="3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40" nillable="true" ma:displayName="Length (seconds)" ma:internalName="MediaLengthInSeconds" ma:readOnly="true">
      <xsd:simpleType>
        <xsd:restriction base="dms:Unknown"/>
      </xsd:simpleType>
    </xsd:element>
    <xsd:element name="MediaServiceSearchProperties" ma:index="4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42" nillable="true" ma:displayName="_activity" ma:hidden="true" ma:internalName="_activity">
      <xsd:simpleType>
        <xsd:restriction base="dms:Note"/>
      </xsd:simpleType>
    </xsd:element>
    <xsd:element name="MediaServiceObjectDetectorVersions" ma:index="4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4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45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93eb3d-aed2-401e-aea1-f0de296e05cb" elementFormDefault="qualified">
    <xsd:import namespace="http://schemas.microsoft.com/office/2006/documentManagement/types"/>
    <xsd:import namespace="http://schemas.microsoft.com/office/infopath/2007/PartnerControls"/>
    <xsd:element name="SharedWithUsers" ma:index="3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3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04694C-F963-4CFC-BD90-009DF12377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8A4DBC2-09F2-4145-A296-41D307A87C71}">
  <ds:schemaRefs>
    <ds:schemaRef ds:uri="http://www.w3.org/XML/1998/namespace"/>
    <ds:schemaRef ds:uri="http://schemas.microsoft.com/office/2006/metadata/properties"/>
    <ds:schemaRef ds:uri="d7f26a1f-2b15-429c-946e-b844e4058b24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infopath/2007/PartnerControls"/>
    <ds:schemaRef ds:uri="6e93eb3d-aed2-401e-aea1-f0de296e05cb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B2EF177-4369-4B30-9872-A2786A7532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f26a1f-2b15-429c-946e-b844e4058b24"/>
    <ds:schemaRef ds:uri="6e93eb3d-aed2-401e-aea1-f0de296e05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MENÚ PRINCIPAL</vt:lpstr>
      <vt:lpstr>ALTA DE EMPRESA</vt:lpstr>
      <vt:lpstr>CONTADOR</vt:lpstr>
      <vt:lpstr>CATALOGO DE CUENTAS GENERAL</vt:lpstr>
      <vt:lpstr>BALANCE GENERAL</vt:lpstr>
      <vt:lpstr>RAYADO DIARIO</vt:lpstr>
      <vt:lpstr>ESQUEMA DE MAYOR</vt:lpstr>
      <vt:lpstr>BALANZA DE COMPROBACIÓN</vt:lpstr>
      <vt:lpstr>PÓLIZAS</vt:lpstr>
      <vt:lpstr>ESTADO DE RESULTADOS</vt:lpstr>
      <vt:lpstr>BALANCE GENERAL FINAL</vt:lpstr>
      <vt:lpstr>TABLA DINAMICA</vt:lpstr>
      <vt:lpstr>BASE DE DATOS</vt:lpstr>
      <vt:lpstr>EMPRESA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Myga</dc:creator>
  <cp:lastModifiedBy>Gerardo Martínez</cp:lastModifiedBy>
  <dcterms:created xsi:type="dcterms:W3CDTF">2018-05-25T19:43:33Z</dcterms:created>
  <dcterms:modified xsi:type="dcterms:W3CDTF">2025-10-16T00:21:05Z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0x0101000CC0623D538E534382D3C53F463F9050</vt:lpwstr>
  </property>
</Properties>
</file>